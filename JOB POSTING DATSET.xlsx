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21" i="1" l="1"/>
  <c r="K21" i="1"/>
  <c r="L21" i="1"/>
  <c r="M21" i="1"/>
  <c r="M60" i="1"/>
  <c r="M16" i="1"/>
  <c r="M17" i="1"/>
  <c r="M18" i="1"/>
  <c r="M19" i="1"/>
  <c r="M20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5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5" i="1"/>
  <c r="L946" i="1"/>
  <c r="L947" i="1"/>
  <c r="L948" i="1"/>
  <c r="L949" i="1"/>
  <c r="L950" i="1"/>
  <c r="L953" i="1"/>
  <c r="L954" i="1"/>
  <c r="L955" i="1"/>
  <c r="L956" i="1"/>
  <c r="L957" i="1"/>
  <c r="L958" i="1"/>
  <c r="L961" i="1"/>
  <c r="L962" i="1"/>
  <c r="L963" i="1"/>
  <c r="L964" i="1"/>
  <c r="L965" i="1"/>
  <c r="L966" i="1"/>
  <c r="L969" i="1"/>
  <c r="L970" i="1"/>
  <c r="L971" i="1"/>
  <c r="L972" i="1"/>
  <c r="L973" i="1"/>
  <c r="L974" i="1"/>
  <c r="L977" i="1"/>
  <c r="L978" i="1"/>
  <c r="L979" i="1"/>
  <c r="L980" i="1"/>
  <c r="L981" i="1"/>
  <c r="L982" i="1"/>
  <c r="L985" i="1"/>
  <c r="L986" i="1"/>
  <c r="L987" i="1"/>
  <c r="L988" i="1"/>
  <c r="L989" i="1"/>
  <c r="L990" i="1"/>
  <c r="L993" i="1"/>
  <c r="L994" i="1"/>
  <c r="L995" i="1"/>
  <c r="L996" i="1"/>
  <c r="L997" i="1"/>
  <c r="L998" i="1"/>
  <c r="L1001" i="1"/>
  <c r="L1002" i="1"/>
  <c r="L1003" i="1"/>
  <c r="L1004" i="1"/>
  <c r="L1005" i="1"/>
  <c r="L1006" i="1"/>
  <c r="L1009" i="1"/>
  <c r="L1010" i="1"/>
  <c r="L1011" i="1"/>
  <c r="L1012" i="1"/>
  <c r="L1013" i="1"/>
  <c r="L1014" i="1"/>
  <c r="L1017" i="1"/>
  <c r="L1018" i="1"/>
  <c r="L1019" i="1"/>
  <c r="L1020" i="1"/>
  <c r="L1021" i="1"/>
  <c r="L1022" i="1"/>
  <c r="L1024" i="1"/>
  <c r="L1025" i="1"/>
  <c r="L1026" i="1"/>
  <c r="L1027" i="1"/>
  <c r="L1028" i="1"/>
  <c r="L1029" i="1"/>
  <c r="L1030" i="1"/>
  <c r="L1031" i="1"/>
  <c r="L1032" i="1"/>
  <c r="L1033" i="1"/>
  <c r="L1034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3" i="1"/>
  <c r="L174" i="1"/>
  <c r="L2" i="1"/>
  <c r="K101" i="1"/>
  <c r="K102" i="1"/>
  <c r="K103" i="1"/>
  <c r="K104" i="1"/>
  <c r="K105" i="1"/>
  <c r="K106" i="1"/>
  <c r="K107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168" i="1"/>
  <c r="K169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5" i="1"/>
  <c r="K946" i="1"/>
  <c r="K947" i="1"/>
  <c r="K948" i="1"/>
  <c r="K949" i="1"/>
  <c r="K950" i="1"/>
  <c r="K953" i="1"/>
  <c r="K954" i="1"/>
  <c r="K955" i="1"/>
  <c r="K956" i="1"/>
  <c r="K957" i="1"/>
  <c r="K958" i="1"/>
  <c r="K961" i="1"/>
  <c r="K962" i="1"/>
  <c r="K963" i="1"/>
  <c r="K964" i="1"/>
  <c r="K965" i="1"/>
  <c r="K966" i="1"/>
  <c r="K969" i="1"/>
  <c r="K970" i="1"/>
  <c r="K971" i="1"/>
  <c r="K972" i="1"/>
  <c r="K973" i="1"/>
  <c r="K974" i="1"/>
  <c r="K977" i="1"/>
  <c r="K978" i="1"/>
  <c r="K979" i="1"/>
  <c r="K980" i="1"/>
  <c r="K981" i="1"/>
  <c r="K982" i="1"/>
  <c r="K985" i="1"/>
  <c r="K986" i="1"/>
  <c r="K987" i="1"/>
  <c r="K988" i="1"/>
  <c r="K989" i="1"/>
  <c r="K990" i="1"/>
  <c r="K993" i="1"/>
  <c r="K994" i="1"/>
  <c r="K995" i="1"/>
  <c r="K996" i="1"/>
  <c r="K997" i="1"/>
  <c r="K998" i="1"/>
  <c r="K1001" i="1"/>
  <c r="K1002" i="1"/>
  <c r="K1003" i="1"/>
  <c r="K1004" i="1"/>
  <c r="K1005" i="1"/>
  <c r="K1006" i="1"/>
  <c r="K1009" i="1"/>
  <c r="K1010" i="1"/>
  <c r="K1011" i="1"/>
  <c r="K1012" i="1"/>
  <c r="K1013" i="1"/>
  <c r="K1014" i="1"/>
  <c r="K1017" i="1"/>
  <c r="K1018" i="1"/>
  <c r="K1019" i="1"/>
  <c r="K1020" i="1"/>
  <c r="K1021" i="1"/>
  <c r="K1022" i="1"/>
  <c r="K1024" i="1"/>
  <c r="K1025" i="1"/>
  <c r="K1026" i="1"/>
  <c r="K1027" i="1"/>
  <c r="K1028" i="1"/>
  <c r="K1029" i="1"/>
  <c r="K1030" i="1"/>
  <c r="K1031" i="1"/>
  <c r="K1032" i="1"/>
  <c r="K1033" i="1"/>
  <c r="K1034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2" i="1"/>
  <c r="K23" i="1"/>
  <c r="K24" i="1"/>
  <c r="K25" i="1"/>
  <c r="K26" i="1"/>
  <c r="K27" i="1"/>
  <c r="K28" i="1"/>
  <c r="K29" i="1"/>
  <c r="K30" i="1"/>
  <c r="K31" i="1"/>
  <c r="K2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488" i="1"/>
  <c r="D489" i="1"/>
  <c r="D490" i="1"/>
  <c r="D491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5" i="1"/>
  <c r="D946" i="1"/>
  <c r="D947" i="1"/>
  <c r="D948" i="1"/>
  <c r="D949" i="1"/>
  <c r="D950" i="1"/>
  <c r="D953" i="1"/>
  <c r="D954" i="1"/>
  <c r="D955" i="1"/>
  <c r="D956" i="1"/>
  <c r="D957" i="1"/>
  <c r="D958" i="1"/>
  <c r="D961" i="1"/>
  <c r="D962" i="1"/>
  <c r="D963" i="1"/>
  <c r="D964" i="1"/>
  <c r="D965" i="1"/>
  <c r="D966" i="1"/>
  <c r="D969" i="1"/>
  <c r="D970" i="1"/>
  <c r="D971" i="1"/>
  <c r="D972" i="1"/>
  <c r="D973" i="1"/>
  <c r="D974" i="1"/>
  <c r="D977" i="1"/>
  <c r="D978" i="1"/>
  <c r="D979" i="1"/>
  <c r="D980" i="1"/>
  <c r="D981" i="1"/>
  <c r="D982" i="1"/>
  <c r="D985" i="1"/>
  <c r="D986" i="1"/>
  <c r="D987" i="1"/>
  <c r="D988" i="1"/>
  <c r="D989" i="1"/>
  <c r="D990" i="1"/>
  <c r="D993" i="1"/>
  <c r="D994" i="1"/>
  <c r="D995" i="1"/>
  <c r="D996" i="1"/>
  <c r="D997" i="1"/>
  <c r="D998" i="1"/>
  <c r="D1001" i="1"/>
  <c r="D1002" i="1"/>
  <c r="D1003" i="1"/>
  <c r="D1004" i="1"/>
  <c r="D1005" i="1"/>
  <c r="D1006" i="1"/>
  <c r="D1009" i="1"/>
  <c r="D1010" i="1"/>
  <c r="D1011" i="1"/>
  <c r="D1012" i="1"/>
  <c r="D1013" i="1"/>
  <c r="D1014" i="1"/>
  <c r="D1017" i="1"/>
  <c r="D1018" i="1"/>
  <c r="D1019" i="1"/>
  <c r="D1020" i="1"/>
  <c r="D1021" i="1"/>
  <c r="D1022" i="1"/>
  <c r="D1024" i="1"/>
  <c r="D1025" i="1"/>
  <c r="D1026" i="1"/>
  <c r="D1027" i="1"/>
  <c r="D1028" i="1"/>
  <c r="D1030" i="1"/>
  <c r="D1031" i="1"/>
  <c r="D1032" i="1"/>
  <c r="D1033" i="1"/>
  <c r="D1034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101" i="1"/>
  <c r="D102" i="1"/>
  <c r="D103" i="1"/>
  <c r="D104" i="1"/>
  <c r="D105" i="1"/>
  <c r="D106" i="1"/>
  <c r="D107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2" i="1"/>
  <c r="D2" i="1"/>
</calcChain>
</file>

<file path=xl/sharedStrings.xml><?xml version="1.0" encoding="utf-8"?>
<sst xmlns="http://schemas.openxmlformats.org/spreadsheetml/2006/main" count="10394" uniqueCount="180">
  <si>
    <t>JOB ID</t>
  </si>
  <si>
    <t>JOB TITLE</t>
  </si>
  <si>
    <t>COMPANY NAME</t>
  </si>
  <si>
    <t xml:space="preserve">INDUSTRY </t>
  </si>
  <si>
    <t>JOB TYPE</t>
  </si>
  <si>
    <t>WORK MODE</t>
  </si>
  <si>
    <t>POSTED DATE</t>
  </si>
  <si>
    <t>COUNTRY</t>
  </si>
  <si>
    <t>STATE</t>
  </si>
  <si>
    <t>SALARY MIN</t>
  </si>
  <si>
    <t>SALARY MAX</t>
  </si>
  <si>
    <t>SKILLS</t>
  </si>
  <si>
    <t>EXPERIENCE LEVEL</t>
  </si>
  <si>
    <t>JOB SOURCE</t>
  </si>
  <si>
    <t>DATA ANALYST</t>
  </si>
  <si>
    <t>DATA ENGINEER</t>
  </si>
  <si>
    <t>DATA SCIENTIST</t>
  </si>
  <si>
    <t>BUSINESS ANALYST</t>
  </si>
  <si>
    <t>FINANCIAL ANALYST</t>
  </si>
  <si>
    <t>CYBER SECURITY</t>
  </si>
  <si>
    <t>AI/ML ENGINEER</t>
  </si>
  <si>
    <t>RISK MANAGEMENT</t>
  </si>
  <si>
    <t>MARKETING MANAGER</t>
  </si>
  <si>
    <t>ALPHA TECHNOLOGIES</t>
  </si>
  <si>
    <t>CSV HEALTH</t>
  </si>
  <si>
    <t>FACEBOOK</t>
  </si>
  <si>
    <t>STIER SOLUTIONS</t>
  </si>
  <si>
    <t>OPTUM</t>
  </si>
  <si>
    <t>TECUMEN LIMITED</t>
  </si>
  <si>
    <t>MINDSPACE</t>
  </si>
  <si>
    <t>SKILLFIED SOLUTIONS</t>
  </si>
  <si>
    <t>MACROS PVT LTD</t>
  </si>
  <si>
    <t xml:space="preserve">INFROSOFT </t>
  </si>
  <si>
    <t>INFRATECH LTD</t>
  </si>
  <si>
    <t>SCALE AI SOLUTIONS</t>
  </si>
  <si>
    <t xml:space="preserve">SPECTRUM </t>
  </si>
  <si>
    <t>GOOD SPACE AI</t>
  </si>
  <si>
    <t>LINKEDIN</t>
  </si>
  <si>
    <t>STAR HEALTH</t>
  </si>
  <si>
    <t>LIC</t>
  </si>
  <si>
    <t>RED HAT PVT LTD</t>
  </si>
  <si>
    <t>IT</t>
  </si>
  <si>
    <t>HEALTH</t>
  </si>
  <si>
    <t>SOCIAL</t>
  </si>
  <si>
    <t>FINANCE</t>
  </si>
  <si>
    <t>INDUSTRY</t>
  </si>
  <si>
    <t xml:space="preserve">LIC </t>
  </si>
  <si>
    <t>FULL-TIME</t>
  </si>
  <si>
    <t>INTERNSHIP</t>
  </si>
  <si>
    <t>CONTRACT</t>
  </si>
  <si>
    <t>FULL TIME'</t>
  </si>
  <si>
    <t>FULL TIME</t>
  </si>
  <si>
    <t>WORK FROM OFFICE</t>
  </si>
  <si>
    <t>HYBRID</t>
  </si>
  <si>
    <t>WORK FROM HOME</t>
  </si>
  <si>
    <t>UNITED STATES</t>
  </si>
  <si>
    <t>EUROPE</t>
  </si>
  <si>
    <t>AUSTRALIA</t>
  </si>
  <si>
    <t>INDIA</t>
  </si>
  <si>
    <t>CANADA</t>
  </si>
  <si>
    <t>RUSSIA</t>
  </si>
  <si>
    <t>SQL, EXCEL, POWERBI, TABLEAU</t>
  </si>
  <si>
    <t>SQL, PYTHON, AWS, SPARK, ETL</t>
  </si>
  <si>
    <t>PYTHON, MACHINE LEARNING,PANDAS, NUMPY</t>
  </si>
  <si>
    <t>EXCEL, SQL, TABLEAU, BUSINESS ANALYSIS</t>
  </si>
  <si>
    <t>NETWORK SECURITY, ETHICAL HACKING, RISK ASSESSMENT</t>
  </si>
  <si>
    <t>CLOUD, NETWORK, MACHINE LEARNING</t>
  </si>
  <si>
    <t>EXCEL, SQL, FINANCIAL MODELLING, BUDGETING</t>
  </si>
  <si>
    <t>RISK ANALYSIS, DATA ANALYSIS, EXCEL, STATISTICS</t>
  </si>
  <si>
    <t>GOOGLE ANALYTICS, SEO, SOCIAL MEDIA ANALYTICS, EXCEL</t>
  </si>
  <si>
    <t>RISK ANALYSIS, DATA ANALYSIS, EXCEL</t>
  </si>
  <si>
    <t>SQL,EXCEL, BUSINESS ANALYSIS</t>
  </si>
  <si>
    <t>FINANCIAL ANALYSIS,EXCEL,BUDGETING</t>
  </si>
  <si>
    <t>ETHICAL HACKING, NETWORK SECURITY,OPEARTIONAL MANGEMENT</t>
  </si>
  <si>
    <t>ENTRY-LEVEL</t>
  </si>
  <si>
    <t>MID-LEVEL</t>
  </si>
  <si>
    <t>HIGH-LEVEL</t>
  </si>
  <si>
    <t>GLASSDOOR</t>
  </si>
  <si>
    <t>NAUKARI</t>
  </si>
  <si>
    <t>INDEED</t>
  </si>
  <si>
    <t>MONSTER</t>
  </si>
  <si>
    <t>CITY</t>
  </si>
  <si>
    <t>California</t>
  </si>
  <si>
    <t>San Francisco</t>
  </si>
  <si>
    <t>San Jose</t>
  </si>
  <si>
    <t>Los Angeles</t>
  </si>
  <si>
    <t>New York</t>
  </si>
  <si>
    <t>New York City</t>
  </si>
  <si>
    <t>Texas</t>
  </si>
  <si>
    <t>Austin</t>
  </si>
  <si>
    <t>Dallas</t>
  </si>
  <si>
    <t>Houston</t>
  </si>
  <si>
    <t>Washington</t>
  </si>
  <si>
    <t>Seattle</t>
  </si>
  <si>
    <t>Massachusetts</t>
  </si>
  <si>
    <t>Boston</t>
  </si>
  <si>
    <t>Illinois</t>
  </si>
  <si>
    <t>Chicago</t>
  </si>
  <si>
    <t>Georgia</t>
  </si>
  <si>
    <t>Atlanta</t>
  </si>
  <si>
    <t>North Carolina</t>
  </si>
  <si>
    <t>Raleigh</t>
  </si>
  <si>
    <t>Virginia</t>
  </si>
  <si>
    <t>Arlington</t>
  </si>
  <si>
    <t>Florida</t>
  </si>
  <si>
    <t>Miami</t>
  </si>
  <si>
    <t>United Kingdom</t>
  </si>
  <si>
    <t>London</t>
  </si>
  <si>
    <t>Manchester</t>
  </si>
  <si>
    <t>Germany</t>
  </si>
  <si>
    <t>Berlin</t>
  </si>
  <si>
    <t>Munich</t>
  </si>
  <si>
    <t>France</t>
  </si>
  <si>
    <t>Paris</t>
  </si>
  <si>
    <t>Netherlands</t>
  </si>
  <si>
    <t>Amsterdam</t>
  </si>
  <si>
    <t>Ireland</t>
  </si>
  <si>
    <t>Dublin</t>
  </si>
  <si>
    <t>Spain</t>
  </si>
  <si>
    <t>Barcelona</t>
  </si>
  <si>
    <t>Madrid</t>
  </si>
  <si>
    <t>Italy</t>
  </si>
  <si>
    <t>Milan</t>
  </si>
  <si>
    <t>Sweden</t>
  </si>
  <si>
    <t>Stockholm</t>
  </si>
  <si>
    <t>Switzerland</t>
  </si>
  <si>
    <t>Zurich</t>
  </si>
  <si>
    <t>Poland</t>
  </si>
  <si>
    <t>Warsaw</t>
  </si>
  <si>
    <t>Karnataka</t>
  </si>
  <si>
    <t>Bengaluru</t>
  </si>
  <si>
    <t>Telangana</t>
  </si>
  <si>
    <t>Hyderabad</t>
  </si>
  <si>
    <t>Maharashtra</t>
  </si>
  <si>
    <t>Mumbai</t>
  </si>
  <si>
    <t>Pune</t>
  </si>
  <si>
    <t>Tamil Nadu</t>
  </si>
  <si>
    <t>Chennai</t>
  </si>
  <si>
    <t>Delhi</t>
  </si>
  <si>
    <t>New Delhi</t>
  </si>
  <si>
    <t>Haryana</t>
  </si>
  <si>
    <t>Gurgaon</t>
  </si>
  <si>
    <t>Uttar Pradesh</t>
  </si>
  <si>
    <t>Noida</t>
  </si>
  <si>
    <t>West Bengal</t>
  </si>
  <si>
    <t>Kolkata</t>
  </si>
  <si>
    <t>Kerala</t>
  </si>
  <si>
    <t>Kochi</t>
  </si>
  <si>
    <t>NEW</t>
  </si>
  <si>
    <t>New South Wales</t>
  </si>
  <si>
    <t>Sydney</t>
  </si>
  <si>
    <t>Victoria</t>
  </si>
  <si>
    <t>Melbourne</t>
  </si>
  <si>
    <t>Queensland</t>
  </si>
  <si>
    <t>Brisbane</t>
  </si>
  <si>
    <t>Western Australia</t>
  </si>
  <si>
    <t>Perth</t>
  </si>
  <si>
    <t>South Australia</t>
  </si>
  <si>
    <t>Adelaide</t>
  </si>
  <si>
    <t>Australian Capital Territory</t>
  </si>
  <si>
    <t>Canberra</t>
  </si>
  <si>
    <t>Ontario</t>
  </si>
  <si>
    <t>Toronto</t>
  </si>
  <si>
    <t>Ottawa</t>
  </si>
  <si>
    <t>British Columbia</t>
  </si>
  <si>
    <t>Vancouver</t>
  </si>
  <si>
    <t>Quebec</t>
  </si>
  <si>
    <t>Montreal</t>
  </si>
  <si>
    <t>Alberta</t>
  </si>
  <si>
    <t>Calgary</t>
  </si>
  <si>
    <t>Edmonton</t>
  </si>
  <si>
    <t>Manitoba</t>
  </si>
  <si>
    <t>Winnipeg</t>
  </si>
  <si>
    <t>Moscow</t>
  </si>
  <si>
    <t>Saint Petersburg</t>
  </si>
  <si>
    <t>Novosibirsk</t>
  </si>
  <si>
    <t>Tatarstan</t>
  </si>
  <si>
    <t>Kazan</t>
  </si>
  <si>
    <t>Sverdlovsk</t>
  </si>
  <si>
    <t>Yekaterinburg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</si>
</sst>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6"/>
  <sheetViews>
    <sheetView tabSelected="1" workbookViewId="0">
      <selection activeCell="I807" sqref="I807:J850"/>
    </sheetView>
  </sheetViews>
  <sheetFormatPr defaultRowHeight="15" x14ac:dyDescent="0.25"/>
  <cols>
    <col min="2" max="2" width="21.5703125" bestFit="1" customWidth="1"/>
    <col min="3" max="3" width="21" bestFit="1" customWidth="1"/>
    <col min="4" max="4" width="10.140625" bestFit="1" customWidth="1"/>
    <col min="5" max="5" width="11.5703125" bestFit="1" customWidth="1"/>
    <col min="6" max="6" width="19.140625" bestFit="1" customWidth="1"/>
    <col min="7" max="7" width="12.85546875" bestFit="1" customWidth="1"/>
    <col min="8" max="8" width="14.42578125" bestFit="1" customWidth="1"/>
    <col min="9" max="9" width="29" customWidth="1"/>
    <col min="10" max="10" width="23.42578125" customWidth="1"/>
    <col min="11" max="11" width="11.7109375" bestFit="1" customWidth="1"/>
    <col min="12" max="12" width="12.140625" bestFit="1" customWidth="1"/>
    <col min="13" max="13" width="62.42578125" bestFit="1" customWidth="1"/>
    <col min="14" max="14" width="17.28515625" bestFit="1" customWidth="1"/>
    <col min="15" max="15" width="11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17850</v>
      </c>
      <c r="B2" t="s">
        <v>14</v>
      </c>
      <c r="C2" t="s">
        <v>23</v>
      </c>
      <c r="D2" t="str">
        <f>IFERROR(INDEX(Sheet2!$B$2:$B$1132,MATCH(Sheet1!C2,Sheet1!$C$2:$C$1132,0)),"IDK")</f>
        <v>IT</v>
      </c>
      <c r="E2" t="s">
        <v>47</v>
      </c>
      <c r="F2" t="s">
        <v>52</v>
      </c>
      <c r="G2" s="1">
        <v>45433</v>
      </c>
      <c r="H2" t="s">
        <v>55</v>
      </c>
      <c r="I2" s="2" t="s">
        <v>82</v>
      </c>
      <c r="J2" s="2" t="s">
        <v>83</v>
      </c>
      <c r="K2">
        <f>IFERROR(INDEX(Sheet2!$C$2:$C$1132,MATCH(Sheet1!C2,Sheet1!$C$2:$C$1132,0)),"")</f>
        <v>35000</v>
      </c>
      <c r="L2">
        <f>IFERROR(INDEX(Sheet2!$D$2:$D$1132,MATCH(Sheet1!C2,$C$2:$C$1132,0)),"")</f>
        <v>70000</v>
      </c>
      <c r="M2" t="s">
        <v>61</v>
      </c>
      <c r="N2" t="s">
        <v>74</v>
      </c>
      <c r="O2" t="s">
        <v>37</v>
      </c>
    </row>
    <row r="3" spans="1:15" x14ac:dyDescent="0.25">
      <c r="A3">
        <v>17851</v>
      </c>
      <c r="B3" t="s">
        <v>15</v>
      </c>
      <c r="C3" t="s">
        <v>24</v>
      </c>
      <c r="D3" t="str">
        <f>IFERROR(INDEX(Sheet2!$B$2:$B$1132,MATCH(Sheet1!C3,Sheet1!$C$2:$C$1132,0)),"IDK")</f>
        <v>HEALTH</v>
      </c>
      <c r="E3" t="s">
        <v>47</v>
      </c>
      <c r="F3" t="s">
        <v>52</v>
      </c>
      <c r="G3" s="1">
        <v>45337</v>
      </c>
      <c r="H3" t="s">
        <v>55</v>
      </c>
      <c r="I3" s="2" t="s">
        <v>82</v>
      </c>
      <c r="J3" s="2" t="s">
        <v>84</v>
      </c>
      <c r="K3">
        <f>IFERROR(INDEX(Sheet2!$C$2:$C$1132,MATCH(Sheet1!C3,Sheet1!$C$2:$C$1132,0)),"")</f>
        <v>25000</v>
      </c>
      <c r="L3">
        <f>IFERROR(INDEX(Sheet2!$D$2:$D$1132,MATCH(Sheet1!C3,$C$2:$C$1132,0)),"")</f>
        <v>50000</v>
      </c>
      <c r="M3" t="s">
        <v>62</v>
      </c>
      <c r="N3" t="s">
        <v>74</v>
      </c>
      <c r="O3" t="s">
        <v>77</v>
      </c>
    </row>
    <row r="4" spans="1:15" x14ac:dyDescent="0.25">
      <c r="A4">
        <v>17852</v>
      </c>
      <c r="B4" t="s">
        <v>16</v>
      </c>
      <c r="C4" t="s">
        <v>25</v>
      </c>
      <c r="D4" t="str">
        <f>IFERROR(INDEX(Sheet2!$B$2:$B$1132,MATCH(Sheet1!C4,Sheet1!$C$2:$C$1132,0)),"IDK")</f>
        <v>SOCIAL</v>
      </c>
      <c r="E4" t="s">
        <v>47</v>
      </c>
      <c r="F4" t="s">
        <v>52</v>
      </c>
      <c r="G4" s="1">
        <v>45528</v>
      </c>
      <c r="H4" t="s">
        <v>55</v>
      </c>
      <c r="I4" s="2" t="s">
        <v>82</v>
      </c>
      <c r="J4" s="2" t="s">
        <v>85</v>
      </c>
      <c r="K4">
        <f>IFERROR(INDEX(Sheet2!$C$2:$C$1132,MATCH(Sheet1!C4,Sheet1!$C$2:$C$1132,0)),"")</f>
        <v>30000</v>
      </c>
      <c r="L4">
        <f>IFERROR(INDEX(Sheet2!$D$2:$D$1132,MATCH(Sheet1!C4,$C$2:$C$1132,0)),"")</f>
        <v>60000</v>
      </c>
      <c r="M4" t="s">
        <v>63</v>
      </c>
      <c r="N4" t="s">
        <v>74</v>
      </c>
      <c r="O4" t="s">
        <v>77</v>
      </c>
    </row>
    <row r="5" spans="1:15" x14ac:dyDescent="0.25">
      <c r="A5">
        <v>17853</v>
      </c>
      <c r="B5" t="s">
        <v>17</v>
      </c>
      <c r="C5" t="s">
        <v>26</v>
      </c>
      <c r="D5" t="str">
        <f>IFERROR(INDEX(Sheet2!$B$2:$B$1132,MATCH(Sheet1!C5,Sheet1!$C$2:$C$1132,0)),"IDK")</f>
        <v>FINANCE</v>
      </c>
      <c r="E5" t="s">
        <v>47</v>
      </c>
      <c r="F5" t="s">
        <v>52</v>
      </c>
      <c r="G5" s="1">
        <v>45628</v>
      </c>
      <c r="H5" t="s">
        <v>55</v>
      </c>
      <c r="I5" s="2" t="s">
        <v>86</v>
      </c>
      <c r="J5" s="2" t="s">
        <v>87</v>
      </c>
      <c r="K5">
        <f>IFERROR(INDEX(Sheet2!$C$2:$C$1132,MATCH(Sheet1!C5,Sheet1!$C$2:$C$1132,0)),"")</f>
        <v>35000</v>
      </c>
      <c r="L5">
        <f>IFERROR(INDEX(Sheet2!$D$2:$D$1132,MATCH(Sheet1!C5,$C$2:$C$1132,0)),"")</f>
        <v>75000</v>
      </c>
      <c r="M5" t="s">
        <v>64</v>
      </c>
      <c r="N5" t="s">
        <v>74</v>
      </c>
      <c r="O5" t="s">
        <v>77</v>
      </c>
    </row>
    <row r="6" spans="1:15" x14ac:dyDescent="0.25">
      <c r="A6">
        <v>17854</v>
      </c>
      <c r="B6" t="s">
        <v>18</v>
      </c>
      <c r="C6" t="s">
        <v>27</v>
      </c>
      <c r="D6" t="str">
        <f>IFERROR(INDEX(Sheet2!$B$2:$B$1132,MATCH(Sheet1!C6,Sheet1!$C$2:$C$1132,0)),"IDK")</f>
        <v>IT</v>
      </c>
      <c r="E6" t="s">
        <v>47</v>
      </c>
      <c r="F6" t="s">
        <v>52</v>
      </c>
      <c r="G6" s="1">
        <v>45314</v>
      </c>
      <c r="H6" t="s">
        <v>55</v>
      </c>
      <c r="I6" s="2" t="s">
        <v>88</v>
      </c>
      <c r="J6" s="2" t="s">
        <v>89</v>
      </c>
      <c r="K6">
        <f>IFERROR(INDEX(Sheet2!$C$2:$C$1132,MATCH(Sheet1!C6,Sheet1!$C$2:$C$1132,0)),"")</f>
        <v>40000</v>
      </c>
      <c r="L6">
        <f>IFERROR(INDEX(Sheet2!$D$2:$D$1132,MATCH(Sheet1!C6,$C$2:$C$1132,0)),"")</f>
        <v>80000</v>
      </c>
      <c r="M6" t="s">
        <v>67</v>
      </c>
      <c r="N6" t="s">
        <v>74</v>
      </c>
      <c r="O6" t="s">
        <v>78</v>
      </c>
    </row>
    <row r="7" spans="1:15" x14ac:dyDescent="0.25">
      <c r="A7">
        <v>17855</v>
      </c>
      <c r="B7" t="s">
        <v>19</v>
      </c>
      <c r="C7" t="s">
        <v>28</v>
      </c>
      <c r="D7" t="str">
        <f>IFERROR(INDEX(Sheet2!$B$2:$B$1132,MATCH(Sheet1!C7,Sheet1!$C$2:$C$1132,0)),"IDK")</f>
        <v>IT</v>
      </c>
      <c r="E7" t="s">
        <v>47</v>
      </c>
      <c r="F7" t="s">
        <v>52</v>
      </c>
      <c r="G7" s="1">
        <v>45424</v>
      </c>
      <c r="H7" t="s">
        <v>55</v>
      </c>
      <c r="I7" s="2" t="s">
        <v>88</v>
      </c>
      <c r="J7" s="2" t="s">
        <v>90</v>
      </c>
      <c r="K7">
        <f>IFERROR(INDEX(Sheet2!$C$2:$C$1132,MATCH(Sheet1!C7,Sheet1!$C$2:$C$1132,0)),"")</f>
        <v>30000</v>
      </c>
      <c r="L7">
        <f>IFERROR(INDEX(Sheet2!$D$2:$D$1132,MATCH(Sheet1!C7,$C$2:$C$1132,0)),"")</f>
        <v>55000</v>
      </c>
      <c r="M7" t="s">
        <v>65</v>
      </c>
      <c r="N7" t="s">
        <v>74</v>
      </c>
      <c r="O7" t="s">
        <v>37</v>
      </c>
    </row>
    <row r="8" spans="1:15" x14ac:dyDescent="0.25">
      <c r="A8">
        <v>17856</v>
      </c>
      <c r="B8" t="s">
        <v>20</v>
      </c>
      <c r="C8" t="s">
        <v>29</v>
      </c>
      <c r="D8" t="str">
        <f>IFERROR(INDEX(Sheet2!$B$2:$B$1132,MATCH(Sheet1!C8,Sheet1!$C$2:$C$1132,0)),"IDK")</f>
        <v>IT</v>
      </c>
      <c r="E8" t="s">
        <v>47</v>
      </c>
      <c r="F8" t="s">
        <v>52</v>
      </c>
      <c r="G8" s="1">
        <v>45442</v>
      </c>
      <c r="H8" t="s">
        <v>55</v>
      </c>
      <c r="I8" s="2" t="s">
        <v>88</v>
      </c>
      <c r="J8" s="2" t="s">
        <v>91</v>
      </c>
      <c r="K8">
        <f>IFERROR(INDEX(Sheet2!$C$2:$C$1132,MATCH(Sheet1!C8,Sheet1!$C$2:$C$1132,0)),"")</f>
        <v>35000</v>
      </c>
      <c r="L8">
        <f>IFERROR(INDEX(Sheet2!$D$2:$D$1132,MATCH(Sheet1!C8,$C$2:$C$1132,0)),"")</f>
        <v>70000</v>
      </c>
      <c r="M8" t="s">
        <v>66</v>
      </c>
      <c r="N8" t="s">
        <v>74</v>
      </c>
      <c r="O8" t="s">
        <v>78</v>
      </c>
    </row>
    <row r="9" spans="1:15" x14ac:dyDescent="0.25">
      <c r="A9">
        <v>17857</v>
      </c>
      <c r="B9" t="s">
        <v>21</v>
      </c>
      <c r="C9" t="s">
        <v>30</v>
      </c>
      <c r="D9" t="str">
        <f>IFERROR(INDEX(Sheet2!$B$2:$B$1132,MATCH(Sheet1!C9,Sheet1!$C$2:$C$1132,0)),"IDK")</f>
        <v>IT</v>
      </c>
      <c r="E9" t="s">
        <v>47</v>
      </c>
      <c r="F9" t="s">
        <v>52</v>
      </c>
      <c r="G9" s="1">
        <v>45425</v>
      </c>
      <c r="H9" t="s">
        <v>55</v>
      </c>
      <c r="I9" s="2" t="s">
        <v>92</v>
      </c>
      <c r="J9" s="2" t="s">
        <v>93</v>
      </c>
      <c r="K9">
        <f>IFERROR(INDEX(Sheet2!$C$2:$C$1132,MATCH(Sheet1!C9,Sheet1!$C$2:$C$1132,0)),"")</f>
        <v>25000</v>
      </c>
      <c r="L9">
        <f>IFERROR(INDEX(Sheet2!$D$2:$D$1132,MATCH(Sheet1!C9,$C$2:$C$1132,0)),"")</f>
        <v>60000</v>
      </c>
      <c r="M9" t="s">
        <v>68</v>
      </c>
      <c r="N9" t="s">
        <v>75</v>
      </c>
      <c r="O9" t="s">
        <v>79</v>
      </c>
    </row>
    <row r="10" spans="1:15" x14ac:dyDescent="0.25">
      <c r="A10">
        <v>17858</v>
      </c>
      <c r="B10" t="s">
        <v>22</v>
      </c>
      <c r="C10" t="s">
        <v>31</v>
      </c>
      <c r="D10" t="str">
        <f>IFERROR(INDEX(Sheet2!$B$2:$B$1132,MATCH(Sheet1!C10,Sheet1!$C$2:$C$1132,0)),"IDK")</f>
        <v>IT</v>
      </c>
      <c r="E10" t="s">
        <v>47</v>
      </c>
      <c r="F10" t="s">
        <v>52</v>
      </c>
      <c r="G10" s="1">
        <v>45454</v>
      </c>
      <c r="H10" t="s">
        <v>55</v>
      </c>
      <c r="I10" s="2" t="s">
        <v>94</v>
      </c>
      <c r="J10" s="2" t="s">
        <v>95</v>
      </c>
      <c r="K10">
        <f>IFERROR(INDEX(Sheet2!$C$2:$C$1132,MATCH(Sheet1!C10,Sheet1!$C$2:$C$1132,0)),"")</f>
        <v>25000</v>
      </c>
      <c r="L10">
        <f>IFERROR(INDEX(Sheet2!$D$2:$D$1132,MATCH(Sheet1!C10,$C$2:$C$1132,0)),"")</f>
        <v>75000</v>
      </c>
      <c r="M10" t="s">
        <v>69</v>
      </c>
      <c r="N10" t="s">
        <v>75</v>
      </c>
      <c r="O10" t="s">
        <v>37</v>
      </c>
    </row>
    <row r="11" spans="1:15" x14ac:dyDescent="0.25">
      <c r="A11">
        <v>17859</v>
      </c>
      <c r="B11" t="s">
        <v>21</v>
      </c>
      <c r="C11" t="s">
        <v>32</v>
      </c>
      <c r="D11" t="str">
        <f>IFERROR(INDEX(Sheet2!$B$2:$B$1132,MATCH(Sheet1!C11,Sheet1!$C$2:$C$1132,0)),"IDK")</f>
        <v>SOCIAL</v>
      </c>
      <c r="E11" t="s">
        <v>47</v>
      </c>
      <c r="F11" t="s">
        <v>52</v>
      </c>
      <c r="G11" s="1">
        <v>45490</v>
      </c>
      <c r="H11" t="s">
        <v>55</v>
      </c>
      <c r="I11" s="2" t="s">
        <v>96</v>
      </c>
      <c r="J11" s="2" t="s">
        <v>97</v>
      </c>
      <c r="K11">
        <f>IFERROR(INDEX(Sheet2!$C$2:$C$1132,MATCH(Sheet1!C11,Sheet1!$C$2:$C$1132,0)),"")</f>
        <v>20000</v>
      </c>
      <c r="L11">
        <f>IFERROR(INDEX(Sheet2!$D$2:$D$1132,MATCH(Sheet1!C11,$C$2:$C$1132,0)),"")</f>
        <v>70000</v>
      </c>
      <c r="M11" t="s">
        <v>70</v>
      </c>
      <c r="N11" t="s">
        <v>75</v>
      </c>
      <c r="O11" t="s">
        <v>78</v>
      </c>
    </row>
    <row r="12" spans="1:15" x14ac:dyDescent="0.25">
      <c r="A12">
        <v>17860</v>
      </c>
      <c r="B12" t="s">
        <v>17</v>
      </c>
      <c r="C12" t="s">
        <v>33</v>
      </c>
      <c r="D12" t="str">
        <f>IFERROR(INDEX(Sheet2!$B$2:$B$1132,MATCH(Sheet1!C12,Sheet1!$C$2:$C$1132,0)),"IDK")</f>
        <v>FINANCE</v>
      </c>
      <c r="E12" t="s">
        <v>47</v>
      </c>
      <c r="F12" t="s">
        <v>52</v>
      </c>
      <c r="G12" s="1">
        <v>45568</v>
      </c>
      <c r="H12" t="s">
        <v>55</v>
      </c>
      <c r="I12" s="2" t="s">
        <v>98</v>
      </c>
      <c r="J12" s="2" t="s">
        <v>99</v>
      </c>
      <c r="K12">
        <f>IFERROR(INDEX(Sheet2!$C$2:$C$1132,MATCH(Sheet1!C12,Sheet1!$C$2:$C$1132,0)),"")</f>
        <v>40000</v>
      </c>
      <c r="L12">
        <f>IFERROR(INDEX(Sheet2!$D$2:$D$1132,MATCH(Sheet1!C12,$C$2:$C$1132,0)),"")</f>
        <v>85000</v>
      </c>
      <c r="M12" t="s">
        <v>71</v>
      </c>
      <c r="N12" t="s">
        <v>74</v>
      </c>
      <c r="O12" t="s">
        <v>79</v>
      </c>
    </row>
    <row r="13" spans="1:15" x14ac:dyDescent="0.25">
      <c r="A13">
        <v>17861</v>
      </c>
      <c r="B13" t="s">
        <v>18</v>
      </c>
      <c r="C13" t="s">
        <v>34</v>
      </c>
      <c r="D13" t="str">
        <f>IFERROR(INDEX(Sheet2!$B$2:$B$1132,MATCH(Sheet1!C13,Sheet1!$C$2:$C$1132,0)),"IDK")</f>
        <v>IT</v>
      </c>
      <c r="E13" t="s">
        <v>47</v>
      </c>
      <c r="F13" t="s">
        <v>52</v>
      </c>
      <c r="G13" s="1">
        <v>45654</v>
      </c>
      <c r="H13" t="s">
        <v>55</v>
      </c>
      <c r="I13" s="2" t="s">
        <v>100</v>
      </c>
      <c r="J13" s="2" t="s">
        <v>101</v>
      </c>
      <c r="K13">
        <f>IFERROR(INDEX(Sheet2!$C$2:$C$1132,MATCH(Sheet1!C13,Sheet1!$C$2:$C$1132,0)),"")</f>
        <v>35000</v>
      </c>
      <c r="L13">
        <f>IFERROR(INDEX(Sheet2!$D$2:$D$1132,MATCH(Sheet1!C13,$C$2:$C$1132,0)),"")</f>
        <v>90000</v>
      </c>
      <c r="M13" t="s">
        <v>72</v>
      </c>
      <c r="N13" t="s">
        <v>75</v>
      </c>
      <c r="O13" t="s">
        <v>80</v>
      </c>
    </row>
    <row r="14" spans="1:15" x14ac:dyDescent="0.25">
      <c r="A14">
        <v>17862</v>
      </c>
      <c r="B14" t="s">
        <v>19</v>
      </c>
      <c r="C14" t="s">
        <v>35</v>
      </c>
      <c r="D14" t="str">
        <f>IFERROR(INDEX(Sheet2!$B$2:$B$1132,MATCH(Sheet1!C14,Sheet1!$C$2:$C$1132,0)),"IDK")</f>
        <v>SOCIAL</v>
      </c>
      <c r="E14" t="s">
        <v>47</v>
      </c>
      <c r="F14" t="s">
        <v>52</v>
      </c>
      <c r="G14" s="1">
        <v>45402</v>
      </c>
      <c r="H14" t="s">
        <v>55</v>
      </c>
      <c r="I14" s="2" t="s">
        <v>102</v>
      </c>
      <c r="J14" s="2" t="s">
        <v>103</v>
      </c>
      <c r="K14">
        <f>IFERROR(INDEX(Sheet2!$C$2:$C$1132,MATCH(Sheet1!C14,Sheet1!$C$2:$C$1132,0)),"")</f>
        <v>30000</v>
      </c>
      <c r="L14">
        <f>IFERROR(INDEX(Sheet2!$D$2:$D$1132,MATCH(Sheet1!C14,$C$2:$C$1132,0)),"")</f>
        <v>95000</v>
      </c>
      <c r="M14" t="s">
        <v>73</v>
      </c>
      <c r="N14" t="s">
        <v>76</v>
      </c>
      <c r="O14" t="s">
        <v>77</v>
      </c>
    </row>
    <row r="15" spans="1:15" x14ac:dyDescent="0.25">
      <c r="A15">
        <v>17863</v>
      </c>
      <c r="B15" t="s">
        <v>16</v>
      </c>
      <c r="C15" t="s">
        <v>36</v>
      </c>
      <c r="D15" t="str">
        <f>IFERROR(INDEX(Sheet2!$B$2:$B$1132,MATCH(Sheet1!C15,Sheet1!$C$2:$C$1132,0)),"IDK")</f>
        <v>IT</v>
      </c>
      <c r="E15" t="s">
        <v>47</v>
      </c>
      <c r="F15" t="s">
        <v>52</v>
      </c>
      <c r="G15" s="1">
        <v>45433</v>
      </c>
      <c r="H15" t="s">
        <v>55</v>
      </c>
      <c r="I15" s="2" t="s">
        <v>104</v>
      </c>
      <c r="J15" s="2" t="s">
        <v>105</v>
      </c>
      <c r="K15">
        <f>IFERROR(INDEX(Sheet2!$C$2:$C$1132,MATCH(Sheet1!C15,Sheet1!$C$2:$C$1132,0)),"")</f>
        <v>50000</v>
      </c>
      <c r="L15">
        <f>IFERROR(INDEX(Sheet2!$D$2:$D$1132,MATCH(Sheet1!C15,$C$2:$C$1132,0)),"")</f>
        <v>100000</v>
      </c>
      <c r="M15" t="str">
        <f>IFERROR(INDEX($M$2:$M$1132,MATCH(B15,$B$2:$B$1132,0)),"")</f>
        <v>PYTHON, MACHINE LEARNING,PANDAS, NUMPY</v>
      </c>
      <c r="N15" t="s">
        <v>76</v>
      </c>
      <c r="O15" t="s">
        <v>79</v>
      </c>
    </row>
    <row r="16" spans="1:15" x14ac:dyDescent="0.25">
      <c r="A16">
        <v>17864</v>
      </c>
      <c r="B16" t="s">
        <v>17</v>
      </c>
      <c r="C16" t="s">
        <v>27</v>
      </c>
      <c r="D16" t="str">
        <f>IFERROR(INDEX(Sheet2!$B$2:$B$1132,MATCH(Sheet1!C16,Sheet1!$C$2:$C$1132,0)),"IDK")</f>
        <v>IT</v>
      </c>
      <c r="E16" t="s">
        <v>47</v>
      </c>
      <c r="F16" t="s">
        <v>52</v>
      </c>
      <c r="G16" s="1">
        <v>45537</v>
      </c>
      <c r="H16" t="s">
        <v>55</v>
      </c>
      <c r="I16" s="2" t="s">
        <v>88</v>
      </c>
      <c r="J16" s="2" t="s">
        <v>90</v>
      </c>
      <c r="K16">
        <f>IFERROR(INDEX(Sheet2!$C$2:$C$1132,MATCH(Sheet1!C16,Sheet1!$C$2:$C$1132,0)),"")</f>
        <v>40000</v>
      </c>
      <c r="L16">
        <f>IFERROR(INDEX(Sheet2!$D$2:$D$1132,MATCH(Sheet1!C16,$C$2:$C$1132,0)),"")</f>
        <v>80000</v>
      </c>
      <c r="M16" t="str">
        <f>IFERROR(INDEX($M$2:$M$1132,MATCH(B16,$B$2:$B$1132,0)),"")</f>
        <v>EXCEL, SQL, TABLEAU, BUSINESS ANALYSIS</v>
      </c>
      <c r="N16" t="s">
        <v>76</v>
      </c>
      <c r="O16" t="s">
        <v>37</v>
      </c>
    </row>
    <row r="17" spans="1:15" x14ac:dyDescent="0.25">
      <c r="A17">
        <v>17865</v>
      </c>
      <c r="B17" t="s">
        <v>14</v>
      </c>
      <c r="C17" t="s">
        <v>28</v>
      </c>
      <c r="D17" t="str">
        <f>IFERROR(INDEX(Sheet2!$B$2:$B$1132,MATCH(Sheet1!C17,Sheet1!$C$2:$C$1132,0)),"IDK")</f>
        <v>IT</v>
      </c>
      <c r="E17" t="s">
        <v>47</v>
      </c>
      <c r="F17" t="s">
        <v>52</v>
      </c>
      <c r="G17" s="1">
        <v>45390</v>
      </c>
      <c r="H17" t="s">
        <v>55</v>
      </c>
      <c r="I17" s="2" t="s">
        <v>86</v>
      </c>
      <c r="J17" s="2" t="s">
        <v>87</v>
      </c>
      <c r="K17">
        <f>IFERROR(INDEX(Sheet2!$C$2:$C$1132,MATCH(Sheet1!C17,Sheet1!$C$2:$C$1132,0)),"")</f>
        <v>30000</v>
      </c>
      <c r="L17">
        <f>IFERROR(INDEX(Sheet2!$D$2:$D$1132,MATCH(Sheet1!C17,$C$2:$C$1132,0)),"")</f>
        <v>55000</v>
      </c>
      <c r="M17" t="str">
        <f>IFERROR(INDEX($M$2:$M$1132,MATCH(B17,$B$2:$B$1132,0)),"")</f>
        <v>SQL, EXCEL, POWERBI, TABLEAU</v>
      </c>
      <c r="N17" t="s">
        <v>76</v>
      </c>
      <c r="O17" t="s">
        <v>78</v>
      </c>
    </row>
    <row r="18" spans="1:15" x14ac:dyDescent="0.25">
      <c r="A18">
        <v>17866</v>
      </c>
      <c r="B18" t="s">
        <v>15</v>
      </c>
      <c r="C18" t="s">
        <v>29</v>
      </c>
      <c r="D18" t="str">
        <f>IFERROR(INDEX(Sheet2!$B$2:$B$1132,MATCH(Sheet1!C18,Sheet1!$C$2:$C$1132,0)),"IDK")</f>
        <v>IT</v>
      </c>
      <c r="E18" t="s">
        <v>47</v>
      </c>
      <c r="F18" t="s">
        <v>52</v>
      </c>
      <c r="G18" s="1">
        <v>45316</v>
      </c>
      <c r="H18" t="s">
        <v>55</v>
      </c>
      <c r="I18" s="2" t="s">
        <v>92</v>
      </c>
      <c r="J18" s="2" t="s">
        <v>93</v>
      </c>
      <c r="K18">
        <f>IFERROR(INDEX(Sheet2!$C$2:$C$1132,MATCH(Sheet1!C18,Sheet1!$C$2:$C$1132,0)),"")</f>
        <v>35000</v>
      </c>
      <c r="L18">
        <f>IFERROR(INDEX(Sheet2!$D$2:$D$1132,MATCH(Sheet1!C18,$C$2:$C$1132,0)),"")</f>
        <v>70000</v>
      </c>
      <c r="M18" t="str">
        <f>IFERROR(INDEX($M$2:$M$1132,MATCH(B18,$B$2:$B$1132,0)),"")</f>
        <v>SQL, PYTHON, AWS, SPARK, ETL</v>
      </c>
      <c r="N18" t="s">
        <v>74</v>
      </c>
      <c r="O18" t="s">
        <v>80</v>
      </c>
    </row>
    <row r="19" spans="1:15" x14ac:dyDescent="0.25">
      <c r="A19">
        <v>17867</v>
      </c>
      <c r="B19" t="s">
        <v>16</v>
      </c>
      <c r="C19" t="s">
        <v>23</v>
      </c>
      <c r="D19" t="str">
        <f>IFERROR(INDEX(Sheet2!$B$2:$B$1132,MATCH(Sheet1!C19,Sheet1!$C$2:$C$1132,0)),"IDK")</f>
        <v>IT</v>
      </c>
      <c r="E19" t="s">
        <v>47</v>
      </c>
      <c r="F19" t="s">
        <v>52</v>
      </c>
      <c r="G19" s="1">
        <v>45416</v>
      </c>
      <c r="H19" t="s">
        <v>55</v>
      </c>
      <c r="I19" s="2" t="s">
        <v>96</v>
      </c>
      <c r="J19" s="2" t="s">
        <v>97</v>
      </c>
      <c r="K19">
        <f>IFERROR(INDEX(Sheet2!$C$2:$C$1132,MATCH(Sheet1!C19,Sheet1!$C$2:$C$1132,0)),"")</f>
        <v>35000</v>
      </c>
      <c r="L19">
        <f>IFERROR(INDEX(Sheet2!$D$2:$D$1132,MATCH(Sheet1!C19,$C$2:$C$1132,0)),"")</f>
        <v>70000</v>
      </c>
      <c r="M19" t="str">
        <f>IFERROR(INDEX($M$2:$M$1132,MATCH(B19,$B$2:$B$1132,0)),"")</f>
        <v>PYTHON, MACHINE LEARNING,PANDAS, NUMPY</v>
      </c>
      <c r="N19" t="s">
        <v>74</v>
      </c>
      <c r="O19" t="s">
        <v>79</v>
      </c>
    </row>
    <row r="20" spans="1:15" x14ac:dyDescent="0.25">
      <c r="A20">
        <v>17868</v>
      </c>
      <c r="B20" t="s">
        <v>14</v>
      </c>
      <c r="C20" t="s">
        <v>30</v>
      </c>
      <c r="D20" t="str">
        <f>IFERROR(INDEX(Sheet2!$B$2:$B$1132,MATCH(Sheet1!C20,Sheet1!$C$2:$C$1132,0)),"IDK")</f>
        <v>IT</v>
      </c>
      <c r="E20" t="s">
        <v>47</v>
      </c>
      <c r="F20" t="s">
        <v>52</v>
      </c>
      <c r="G20" s="1">
        <v>45385</v>
      </c>
      <c r="H20" t="s">
        <v>55</v>
      </c>
      <c r="I20" s="2" t="s">
        <v>98</v>
      </c>
      <c r="J20" s="2" t="s">
        <v>99</v>
      </c>
      <c r="K20">
        <f>IFERROR(INDEX(Sheet2!$C$2:$C$1132,MATCH(Sheet1!C20,Sheet1!$C$2:$C$1132,0)),"")</f>
        <v>25000</v>
      </c>
      <c r="L20">
        <f>IFERROR(INDEX(Sheet2!$D$2:$D$1132,MATCH(Sheet1!C20,$C$2:$C$1132,0)),"")</f>
        <v>60000</v>
      </c>
      <c r="M20" t="str">
        <f>IFERROR(INDEX($M$2:$M$1132,MATCH(B20,$B$2:$B$1132,0)),"")</f>
        <v>SQL, EXCEL, POWERBI, TABLEAU</v>
      </c>
      <c r="N20" t="s">
        <v>75</v>
      </c>
      <c r="O20" t="s">
        <v>37</v>
      </c>
    </row>
    <row r="21" spans="1:15" x14ac:dyDescent="0.25">
      <c r="A21">
        <v>17869</v>
      </c>
      <c r="B21" t="s">
        <v>14</v>
      </c>
      <c r="C21" t="s">
        <v>31</v>
      </c>
      <c r="D21" t="str">
        <f>IFERROR(INDEX(Sheet2!$B$2:$B$1132,MATCH(Sheet1!C21,Sheet1!$C$2:$C$1132,0)),"IDK")</f>
        <v>IT</v>
      </c>
      <c r="E21" t="s">
        <v>47</v>
      </c>
      <c r="F21" t="s">
        <v>53</v>
      </c>
      <c r="G21" s="1">
        <v>45478</v>
      </c>
      <c r="H21" t="s">
        <v>56</v>
      </c>
      <c r="I21" s="3" t="s">
        <v>106</v>
      </c>
      <c r="J21" s="2" t="s">
        <v>107</v>
      </c>
      <c r="K21">
        <f>IFERROR(INDEX(Sheet2!$C$2:$C$1132,MATCH(Sheet1!C21,Sheet1!$C$2:$C$1132,0)),"")</f>
        <v>25000</v>
      </c>
      <c r="L21">
        <f>IFERROR(INDEX(Sheet2!$D$2:$D$1132,MATCH(Sheet1!C21,$C$2:$C$1132,0)),"")</f>
        <v>75000</v>
      </c>
      <c r="M21" t="str">
        <f>IFERROR(INDEX($M$2:$M$1132,MATCH(B21,$B$2:$B$1132,0)),"")</f>
        <v>SQL, EXCEL, POWERBI, TABLEAU</v>
      </c>
      <c r="N21" t="s">
        <v>75</v>
      </c>
      <c r="O21" t="s">
        <v>78</v>
      </c>
    </row>
    <row r="22" spans="1:15" x14ac:dyDescent="0.25">
      <c r="A22">
        <v>17870</v>
      </c>
      <c r="B22" t="s">
        <v>14</v>
      </c>
      <c r="C22" t="s">
        <v>32</v>
      </c>
      <c r="D22" t="str">
        <f>IFERROR(INDEX(Sheet2!$B$2:$B$1132,MATCH(Sheet1!C22,Sheet1!$C$2:$C$1132,0)),"IDK")</f>
        <v>SOCIAL</v>
      </c>
      <c r="E22" t="s">
        <v>47</v>
      </c>
      <c r="F22" t="s">
        <v>52</v>
      </c>
      <c r="G22" s="1">
        <v>45566</v>
      </c>
      <c r="H22" t="s">
        <v>56</v>
      </c>
      <c r="I22" s="3" t="s">
        <v>106</v>
      </c>
      <c r="J22" s="2" t="s">
        <v>108</v>
      </c>
      <c r="K22">
        <f>IFERROR(INDEX(Sheet2!$C$2:$C$1132,MATCH(Sheet1!C22,Sheet1!$C$2:$C$1132,0)),"")</f>
        <v>20000</v>
      </c>
      <c r="L22">
        <f>IFERROR(INDEX(Sheet2!$D$2:$D$1132,MATCH(Sheet1!C22,$C$2:$C$1132,0)),"")</f>
        <v>70000</v>
      </c>
      <c r="M22" t="str">
        <f>IFERROR(INDEX($M$2:$M$1132,MATCH(B22,$B$2:$B$1132,0)),"")</f>
        <v>SQL, EXCEL, POWERBI, TABLEAU</v>
      </c>
      <c r="N22" t="s">
        <v>75</v>
      </c>
      <c r="O22" t="s">
        <v>79</v>
      </c>
    </row>
    <row r="23" spans="1:15" x14ac:dyDescent="0.25">
      <c r="A23">
        <v>17871</v>
      </c>
      <c r="B23" t="s">
        <v>14</v>
      </c>
      <c r="C23" t="s">
        <v>33</v>
      </c>
      <c r="D23" t="str">
        <f>IFERROR(INDEX(Sheet2!$B$2:$B$1132,MATCH(Sheet1!C23,Sheet1!$C$2:$C$1132,0)),"IDK")</f>
        <v>FINANCE</v>
      </c>
      <c r="E23" t="s">
        <v>47</v>
      </c>
      <c r="F23" t="s">
        <v>54</v>
      </c>
      <c r="G23" s="1">
        <v>45593</v>
      </c>
      <c r="H23" t="s">
        <v>56</v>
      </c>
      <c r="I23" s="2" t="s">
        <v>109</v>
      </c>
      <c r="J23" s="2" t="s">
        <v>110</v>
      </c>
      <c r="K23">
        <f>IFERROR(INDEX(Sheet2!$C$2:$C$1132,MATCH(Sheet1!C23,Sheet1!$C$2:$C$1132,0)),"")</f>
        <v>40000</v>
      </c>
      <c r="L23">
        <f>IFERROR(INDEX(Sheet2!$D$2:$D$1132,MATCH(Sheet1!C23,$C$2:$C$1132,0)),"")</f>
        <v>85000</v>
      </c>
      <c r="M23" t="str">
        <f>IFERROR(INDEX($M$2:$M$1132,MATCH(B23,$B$2:$B$1132,0)),"")</f>
        <v>SQL, EXCEL, POWERBI, TABLEAU</v>
      </c>
      <c r="N23" t="s">
        <v>75</v>
      </c>
      <c r="O23" t="s">
        <v>80</v>
      </c>
    </row>
    <row r="24" spans="1:15" x14ac:dyDescent="0.25">
      <c r="A24">
        <v>17872</v>
      </c>
      <c r="B24" t="s">
        <v>14</v>
      </c>
      <c r="C24" t="s">
        <v>23</v>
      </c>
      <c r="D24" t="str">
        <f>IFERROR(INDEX(Sheet2!$B$2:$B$1132,MATCH(Sheet1!C24,Sheet1!$C$2:$C$1132,0)),"IDK")</f>
        <v>IT</v>
      </c>
      <c r="E24" t="s">
        <v>47</v>
      </c>
      <c r="F24" t="s">
        <v>53</v>
      </c>
      <c r="G24" s="1">
        <v>45371</v>
      </c>
      <c r="H24" t="s">
        <v>56</v>
      </c>
      <c r="I24" s="2" t="s">
        <v>109</v>
      </c>
      <c r="J24" s="2" t="s">
        <v>111</v>
      </c>
      <c r="K24">
        <f>IFERROR(INDEX(Sheet2!$C$2:$C$1132,MATCH(Sheet1!C24,Sheet1!$C$2:$C$1132,0)),"")</f>
        <v>35000</v>
      </c>
      <c r="L24">
        <f>IFERROR(INDEX(Sheet2!$D$2:$D$1132,MATCH(Sheet1!C24,$C$2:$C$1132,0)),"")</f>
        <v>70000</v>
      </c>
      <c r="M24" t="str">
        <f>IFERROR(INDEX($M$2:$M$1132,MATCH(B24,$B$2:$B$1132,0)),"")</f>
        <v>SQL, EXCEL, POWERBI, TABLEAU</v>
      </c>
      <c r="N24" t="s">
        <v>75</v>
      </c>
      <c r="O24" t="s">
        <v>77</v>
      </c>
    </row>
    <row r="25" spans="1:15" x14ac:dyDescent="0.25">
      <c r="A25">
        <v>17873</v>
      </c>
      <c r="B25" t="s">
        <v>14</v>
      </c>
      <c r="C25" t="s">
        <v>24</v>
      </c>
      <c r="D25" t="str">
        <f>IFERROR(INDEX(Sheet2!$B$2:$B$1132,MATCH(Sheet1!C25,Sheet1!$C$2:$C$1132,0)),"IDK")</f>
        <v>HEALTH</v>
      </c>
      <c r="E25" t="s">
        <v>47</v>
      </c>
      <c r="F25" t="s">
        <v>53</v>
      </c>
      <c r="G25" s="1">
        <v>45433</v>
      </c>
      <c r="H25" t="s">
        <v>56</v>
      </c>
      <c r="I25" s="2" t="s">
        <v>112</v>
      </c>
      <c r="J25" s="2" t="s">
        <v>113</v>
      </c>
      <c r="K25">
        <f>IFERROR(INDEX(Sheet2!$C$2:$C$1132,MATCH(Sheet1!C25,Sheet1!$C$2:$C$1132,0)),"")</f>
        <v>25000</v>
      </c>
      <c r="L25">
        <f>IFERROR(INDEX(Sheet2!$D$2:$D$1132,MATCH(Sheet1!C25,$C$2:$C$1132,0)),"")</f>
        <v>50000</v>
      </c>
      <c r="M25" t="str">
        <f>IFERROR(INDEX($M$2:$M$1132,MATCH(B25,$B$2:$B$1132,0)),"")</f>
        <v>SQL, EXCEL, POWERBI, TABLEAU</v>
      </c>
      <c r="N25" t="s">
        <v>75</v>
      </c>
      <c r="O25" t="s">
        <v>79</v>
      </c>
    </row>
    <row r="26" spans="1:15" x14ac:dyDescent="0.25">
      <c r="A26">
        <v>17874</v>
      </c>
      <c r="B26" t="s">
        <v>14</v>
      </c>
      <c r="C26" t="s">
        <v>25</v>
      </c>
      <c r="D26" t="str">
        <f>IFERROR(INDEX(Sheet2!$B$2:$B$1132,MATCH(Sheet1!C26,Sheet1!$C$2:$C$1132,0)),"IDK")</f>
        <v>SOCIAL</v>
      </c>
      <c r="E26" t="s">
        <v>47</v>
      </c>
      <c r="F26" t="s">
        <v>53</v>
      </c>
      <c r="G26" s="1">
        <v>45332</v>
      </c>
      <c r="H26" t="s">
        <v>56</v>
      </c>
      <c r="I26" s="2" t="s">
        <v>114</v>
      </c>
      <c r="J26" s="2" t="s">
        <v>115</v>
      </c>
      <c r="K26">
        <f>IFERROR(INDEX(Sheet2!$C$2:$C$1132,MATCH(Sheet1!C26,Sheet1!$C$2:$C$1132,0)),"")</f>
        <v>30000</v>
      </c>
      <c r="L26">
        <f>IFERROR(INDEX(Sheet2!$D$2:$D$1132,MATCH(Sheet1!C26,$C$2:$C$1132,0)),"")</f>
        <v>60000</v>
      </c>
      <c r="M26" t="str">
        <f>IFERROR(INDEX($M$2:$M$1132,MATCH(B26,$B$2:$B$1132,0)),"")</f>
        <v>SQL, EXCEL, POWERBI, TABLEAU</v>
      </c>
      <c r="N26" t="s">
        <v>75</v>
      </c>
      <c r="O26" t="s">
        <v>37</v>
      </c>
    </row>
    <row r="27" spans="1:15" x14ac:dyDescent="0.25">
      <c r="A27">
        <v>17875</v>
      </c>
      <c r="B27" t="s">
        <v>14</v>
      </c>
      <c r="C27" t="s">
        <v>26</v>
      </c>
      <c r="D27" t="str">
        <f>IFERROR(INDEX(Sheet2!$B$2:$B$1132,MATCH(Sheet1!C27,Sheet1!$C$2:$C$1132,0)),"IDK")</f>
        <v>FINANCE</v>
      </c>
      <c r="E27" t="s">
        <v>47</v>
      </c>
      <c r="F27" t="s">
        <v>53</v>
      </c>
      <c r="G27" s="1">
        <v>45340</v>
      </c>
      <c r="H27" t="s">
        <v>56</v>
      </c>
      <c r="I27" s="2" t="s">
        <v>116</v>
      </c>
      <c r="J27" s="2" t="s">
        <v>117</v>
      </c>
      <c r="K27">
        <f>IFERROR(INDEX(Sheet2!$C$2:$C$1132,MATCH(Sheet1!C27,Sheet1!$C$2:$C$1132,0)),"")</f>
        <v>35000</v>
      </c>
      <c r="L27">
        <f>IFERROR(INDEX(Sheet2!$D$2:$D$1132,MATCH(Sheet1!C27,$C$2:$C$1132,0)),"")</f>
        <v>75000</v>
      </c>
      <c r="M27" t="str">
        <f>IFERROR(INDEX($M$2:$M$1132,MATCH(B27,$B$2:$B$1132,0)),"")</f>
        <v>SQL, EXCEL, POWERBI, TABLEAU</v>
      </c>
      <c r="N27" t="s">
        <v>75</v>
      </c>
      <c r="O27" t="s">
        <v>78</v>
      </c>
    </row>
    <row r="28" spans="1:15" x14ac:dyDescent="0.25">
      <c r="A28">
        <v>17876</v>
      </c>
      <c r="B28" t="s">
        <v>15</v>
      </c>
      <c r="C28" t="s">
        <v>27</v>
      </c>
      <c r="D28" t="str">
        <f>IFERROR(INDEX(Sheet2!$B$2:$B$1132,MATCH(Sheet1!C28,Sheet1!$C$2:$C$1132,0)),"IDK")</f>
        <v>IT</v>
      </c>
      <c r="E28" t="s">
        <v>47</v>
      </c>
      <c r="F28" t="s">
        <v>53</v>
      </c>
      <c r="G28" s="1">
        <v>45383</v>
      </c>
      <c r="H28" t="s">
        <v>56</v>
      </c>
      <c r="I28" s="2" t="s">
        <v>118</v>
      </c>
      <c r="J28" s="2" t="s">
        <v>119</v>
      </c>
      <c r="K28">
        <f>IFERROR(INDEX(Sheet2!$C$2:$C$1132,MATCH(Sheet1!C28,Sheet1!$C$2:$C$1132,0)),"")</f>
        <v>40000</v>
      </c>
      <c r="L28">
        <f>IFERROR(INDEX(Sheet2!$D$2:$D$1132,MATCH(Sheet1!C28,$C$2:$C$1132,0)),"")</f>
        <v>80000</v>
      </c>
      <c r="M28" t="str">
        <f>IFERROR(INDEX($M$2:$M$1132,MATCH(B28,$B$2:$B$1132,0)),"")</f>
        <v>SQL, PYTHON, AWS, SPARK, ETL</v>
      </c>
      <c r="N28" t="s">
        <v>76</v>
      </c>
      <c r="O28" t="s">
        <v>80</v>
      </c>
    </row>
    <row r="29" spans="1:15" x14ac:dyDescent="0.25">
      <c r="A29">
        <v>17877</v>
      </c>
      <c r="B29" t="s">
        <v>16</v>
      </c>
      <c r="C29" t="s">
        <v>28</v>
      </c>
      <c r="D29" t="str">
        <f>IFERROR(INDEX(Sheet2!$B$2:$B$1132,MATCH(Sheet1!C29,Sheet1!$C$2:$C$1132,0)),"IDK")</f>
        <v>IT</v>
      </c>
      <c r="E29" t="s">
        <v>47</v>
      </c>
      <c r="F29" t="s">
        <v>53</v>
      </c>
      <c r="G29" s="1">
        <v>45503</v>
      </c>
      <c r="H29" t="s">
        <v>56</v>
      </c>
      <c r="I29" s="2" t="s">
        <v>118</v>
      </c>
      <c r="J29" s="2" t="s">
        <v>120</v>
      </c>
      <c r="K29">
        <f>IFERROR(INDEX(Sheet2!$C$2:$C$1132,MATCH(Sheet1!C29,Sheet1!$C$2:$C$1132,0)),"")</f>
        <v>30000</v>
      </c>
      <c r="L29">
        <f>IFERROR(INDEX(Sheet2!$D$2:$D$1132,MATCH(Sheet1!C29,$C$2:$C$1132,0)),"")</f>
        <v>55000</v>
      </c>
      <c r="M29" t="str">
        <f>IFERROR(INDEX($M$2:$M$1132,MATCH(B29,$B$2:$B$1132,0)),"")</f>
        <v>PYTHON, MACHINE LEARNING,PANDAS, NUMPY</v>
      </c>
      <c r="N29" t="s">
        <v>74</v>
      </c>
      <c r="O29" t="s">
        <v>79</v>
      </c>
    </row>
    <row r="30" spans="1:15" x14ac:dyDescent="0.25">
      <c r="A30">
        <v>17878</v>
      </c>
      <c r="B30" t="s">
        <v>17</v>
      </c>
      <c r="C30" t="s">
        <v>29</v>
      </c>
      <c r="D30" t="str">
        <f>IFERROR(INDEX(Sheet2!$B$2:$B$1132,MATCH(Sheet1!C30,Sheet1!$C$2:$C$1132,0)),"IDK")</f>
        <v>IT</v>
      </c>
      <c r="E30" t="s">
        <v>47</v>
      </c>
      <c r="F30" t="s">
        <v>53</v>
      </c>
      <c r="G30" s="1">
        <v>45373</v>
      </c>
      <c r="H30" t="s">
        <v>56</v>
      </c>
      <c r="I30" s="2" t="s">
        <v>121</v>
      </c>
      <c r="J30" s="2" t="s">
        <v>122</v>
      </c>
      <c r="K30">
        <f>IFERROR(INDEX(Sheet2!$C$2:$C$1132,MATCH(Sheet1!C30,Sheet1!$C$2:$C$1132,0)),"")</f>
        <v>35000</v>
      </c>
      <c r="L30">
        <f>IFERROR(INDEX(Sheet2!$D$2:$D$1132,MATCH(Sheet1!C30,$C$2:$C$1132,0)),"")</f>
        <v>70000</v>
      </c>
      <c r="M30" t="str">
        <f>IFERROR(INDEX($M$2:$M$1132,MATCH(B30,$B$2:$B$1132,0)),"")</f>
        <v>EXCEL, SQL, TABLEAU, BUSINESS ANALYSIS</v>
      </c>
      <c r="N30" t="s">
        <v>74</v>
      </c>
      <c r="O30" t="s">
        <v>37</v>
      </c>
    </row>
    <row r="31" spans="1:15" x14ac:dyDescent="0.25">
      <c r="A31">
        <v>17879</v>
      </c>
      <c r="B31" t="s">
        <v>18</v>
      </c>
      <c r="C31" t="s">
        <v>23</v>
      </c>
      <c r="D31" t="str">
        <f>IFERROR(INDEX(Sheet2!$B$2:$B$1132,MATCH(Sheet1!C31,Sheet1!$C$2:$C$1132,0)),"IDK")</f>
        <v>IT</v>
      </c>
      <c r="E31" t="s">
        <v>47</v>
      </c>
      <c r="F31" t="s">
        <v>53</v>
      </c>
      <c r="G31" s="1">
        <v>45408</v>
      </c>
      <c r="H31" t="s">
        <v>56</v>
      </c>
      <c r="I31" s="2" t="s">
        <v>123</v>
      </c>
      <c r="J31" s="2" t="s">
        <v>124</v>
      </c>
      <c r="K31">
        <f>IFERROR(INDEX(Sheet2!$C$2:$C$1132,MATCH(Sheet1!C31,Sheet1!$C$2:$C$1132,0)),"")</f>
        <v>35000</v>
      </c>
      <c r="L31">
        <f>IFERROR(INDEX(Sheet2!$D$2:$D$1132,MATCH(Sheet1!C31,$C$2:$C$1132,0)),"")</f>
        <v>70000</v>
      </c>
      <c r="M31" t="str">
        <f>IFERROR(INDEX($M$2:$M$1132,MATCH(B31,$B$2:$B$1132,0)),"")</f>
        <v>EXCEL, SQL, FINANCIAL MODELLING, BUDGETING</v>
      </c>
      <c r="N31" t="s">
        <v>75</v>
      </c>
      <c r="O31" t="s">
        <v>78</v>
      </c>
    </row>
    <row r="32" spans="1:15" x14ac:dyDescent="0.25">
      <c r="A32">
        <v>17880</v>
      </c>
      <c r="B32" t="s">
        <v>19</v>
      </c>
      <c r="C32" t="s">
        <v>30</v>
      </c>
      <c r="D32" t="str">
        <f>IFERROR(INDEX(Sheet2!$B$2:$B$1132,MATCH(Sheet1!C32,Sheet1!$C$2:$C$1132,0)),"IDK")</f>
        <v>IT</v>
      </c>
      <c r="E32" t="s">
        <v>47</v>
      </c>
      <c r="F32" t="s">
        <v>53</v>
      </c>
      <c r="G32" s="1">
        <v>45459</v>
      </c>
      <c r="H32" t="s">
        <v>56</v>
      </c>
      <c r="I32" s="2" t="s">
        <v>125</v>
      </c>
      <c r="J32" s="2" t="s">
        <v>126</v>
      </c>
      <c r="K32">
        <f>IFERROR(INDEX(Sheet2!$C$2:$C$1132,MATCH(Sheet1!C32,Sheet1!$C$2:$C$1132,0)),"")</f>
        <v>25000</v>
      </c>
      <c r="L32">
        <f>IFERROR(INDEX(Sheet2!$D$2:$D$1132,MATCH(Sheet1!C32,$C$2:$C$1132,0)),"")</f>
        <v>60000</v>
      </c>
      <c r="M32" t="str">
        <f>IFERROR(INDEX($M$2:$M$1132,MATCH(B32,$B$2:$B$1132,0)),"")</f>
        <v>NETWORK SECURITY, ETHICAL HACKING, RISK ASSESSMENT</v>
      </c>
      <c r="N32" t="s">
        <v>75</v>
      </c>
      <c r="O32" t="s">
        <v>79</v>
      </c>
    </row>
    <row r="33" spans="1:15" x14ac:dyDescent="0.25">
      <c r="A33">
        <v>17881</v>
      </c>
      <c r="B33" t="s">
        <v>16</v>
      </c>
      <c r="C33" t="s">
        <v>31</v>
      </c>
      <c r="D33" t="str">
        <f>IFERROR(INDEX(Sheet2!$B$2:$B$1132,MATCH(Sheet1!C33,Sheet1!$C$2:$C$1132,0)),"IDK")</f>
        <v>IT</v>
      </c>
      <c r="E33" t="s">
        <v>47</v>
      </c>
      <c r="F33" t="s">
        <v>53</v>
      </c>
      <c r="G33" s="1">
        <v>45481</v>
      </c>
      <c r="H33" t="s">
        <v>56</v>
      </c>
      <c r="I33" s="2" t="s">
        <v>127</v>
      </c>
      <c r="J33" s="2" t="s">
        <v>128</v>
      </c>
      <c r="K33">
        <f>IFERROR(INDEX(Sheet2!$C$2:$C$1132,MATCH(Sheet1!C33,Sheet1!$C$2:$C$1132,0)),"")</f>
        <v>25000</v>
      </c>
      <c r="L33">
        <f>IFERROR(INDEX(Sheet2!$D$2:$D$1132,MATCH(Sheet1!C33,$C$2:$C$1132,0)),"")</f>
        <v>75000</v>
      </c>
      <c r="M33" t="str">
        <f>IFERROR(INDEX($M$2:$M$1132,MATCH(B33,$B$2:$B$1132,0)),"")</f>
        <v>PYTHON, MACHINE LEARNING,PANDAS, NUMPY</v>
      </c>
      <c r="N33" t="s">
        <v>75</v>
      </c>
      <c r="O33" t="s">
        <v>80</v>
      </c>
    </row>
    <row r="34" spans="1:15" x14ac:dyDescent="0.25">
      <c r="A34">
        <v>17882</v>
      </c>
      <c r="B34" t="s">
        <v>17</v>
      </c>
      <c r="C34" t="s">
        <v>32</v>
      </c>
      <c r="D34" t="str">
        <f>IFERROR(INDEX(Sheet2!$B$2:$B$1132,MATCH(Sheet1!C34,Sheet1!$C$2:$C$1132,0)),"IDK")</f>
        <v>SOCIAL</v>
      </c>
      <c r="E34" t="s">
        <v>47</v>
      </c>
      <c r="F34" t="s">
        <v>53</v>
      </c>
      <c r="G34" s="1">
        <v>45483</v>
      </c>
      <c r="H34" t="s">
        <v>56</v>
      </c>
      <c r="I34" s="3" t="s">
        <v>106</v>
      </c>
      <c r="J34" s="2" t="s">
        <v>107</v>
      </c>
      <c r="K34">
        <f>IFERROR(INDEX(Sheet2!$C$2:$C$1132,MATCH(Sheet1!C34,Sheet1!$C$2:$C$1132,0)),"")</f>
        <v>20000</v>
      </c>
      <c r="L34">
        <f>IFERROR(INDEX(Sheet2!$D$2:$D$1132,MATCH(Sheet1!C34,$C$2:$C$1132,0)),"")</f>
        <v>70000</v>
      </c>
      <c r="M34" t="str">
        <f>IFERROR(INDEX($M$2:$M$1132,MATCH(B34,$B$2:$B$1132,0)),"")</f>
        <v>EXCEL, SQL, TABLEAU, BUSINESS ANALYSIS</v>
      </c>
      <c r="N34" t="s">
        <v>74</v>
      </c>
      <c r="O34" t="s">
        <v>77</v>
      </c>
    </row>
    <row r="35" spans="1:15" x14ac:dyDescent="0.25">
      <c r="A35">
        <v>17883</v>
      </c>
      <c r="B35" t="s">
        <v>14</v>
      </c>
      <c r="C35" t="s">
        <v>33</v>
      </c>
      <c r="D35" t="str">
        <f>IFERROR(INDEX(Sheet2!$B$2:$B$1132,MATCH(Sheet1!C35,Sheet1!$C$2:$C$1132,0)),"IDK")</f>
        <v>FINANCE</v>
      </c>
      <c r="E35" t="s">
        <v>47</v>
      </c>
      <c r="F35" t="s">
        <v>53</v>
      </c>
      <c r="G35" s="1">
        <v>45616</v>
      </c>
      <c r="H35" t="s">
        <v>56</v>
      </c>
      <c r="I35" s="3" t="s">
        <v>106</v>
      </c>
      <c r="J35" s="2" t="s">
        <v>108</v>
      </c>
      <c r="K35">
        <f>IFERROR(INDEX(Sheet2!$C$2:$C$1132,MATCH(Sheet1!C35,Sheet1!$C$2:$C$1132,0)),"")</f>
        <v>40000</v>
      </c>
      <c r="L35">
        <f>IFERROR(INDEX(Sheet2!$D$2:$D$1132,MATCH(Sheet1!C35,$C$2:$C$1132,0)),"")</f>
        <v>85000</v>
      </c>
      <c r="M35" t="str">
        <f>IFERROR(INDEX($M$2:$M$1132,MATCH(B35,$B$2:$B$1132,0)),"")</f>
        <v>SQL, EXCEL, POWERBI, TABLEAU</v>
      </c>
      <c r="N35" t="s">
        <v>74</v>
      </c>
      <c r="O35" t="s">
        <v>79</v>
      </c>
    </row>
    <row r="36" spans="1:15" x14ac:dyDescent="0.25">
      <c r="A36">
        <v>17884</v>
      </c>
      <c r="B36" t="s">
        <v>14</v>
      </c>
      <c r="C36" t="s">
        <v>24</v>
      </c>
      <c r="D36" t="str">
        <f>IFERROR(INDEX(Sheet2!$B$2:$B$1132,MATCH(Sheet1!C36,Sheet1!$C$2:$C$1132,0)),"IDK")</f>
        <v>HEALTH</v>
      </c>
      <c r="E36" t="s">
        <v>47</v>
      </c>
      <c r="F36" t="s">
        <v>53</v>
      </c>
      <c r="G36" s="1">
        <v>45513</v>
      </c>
      <c r="H36" t="s">
        <v>56</v>
      </c>
      <c r="I36" s="2" t="s">
        <v>109</v>
      </c>
      <c r="J36" s="2" t="s">
        <v>110</v>
      </c>
      <c r="K36">
        <f>IFERROR(INDEX(Sheet2!$C$2:$C$1132,MATCH(Sheet1!C36,Sheet1!$C$2:$C$1132,0)),"")</f>
        <v>25000</v>
      </c>
      <c r="L36">
        <f>IFERROR(INDEX(Sheet2!$D$2:$D$1132,MATCH(Sheet1!C36,$C$2:$C$1132,0)),"")</f>
        <v>50000</v>
      </c>
      <c r="M36" t="str">
        <f>IFERROR(INDEX($M$2:$M$1132,MATCH(B36,$B$2:$B$1132,0)),"")</f>
        <v>SQL, EXCEL, POWERBI, TABLEAU</v>
      </c>
      <c r="N36" t="s">
        <v>74</v>
      </c>
      <c r="O36" t="s">
        <v>37</v>
      </c>
    </row>
    <row r="37" spans="1:15" x14ac:dyDescent="0.25">
      <c r="A37">
        <v>17885</v>
      </c>
      <c r="B37" t="s">
        <v>14</v>
      </c>
      <c r="C37" t="s">
        <v>25</v>
      </c>
      <c r="D37" t="str">
        <f>IFERROR(INDEX(Sheet2!$B$2:$B$1132,MATCH(Sheet1!C37,Sheet1!$C$2:$C$1132,0)),"IDK")</f>
        <v>SOCIAL</v>
      </c>
      <c r="E37" t="s">
        <v>47</v>
      </c>
      <c r="F37" t="s">
        <v>53</v>
      </c>
      <c r="G37" s="1">
        <v>45602</v>
      </c>
      <c r="H37" t="s">
        <v>56</v>
      </c>
      <c r="I37" s="2" t="s">
        <v>109</v>
      </c>
      <c r="J37" s="2" t="s">
        <v>111</v>
      </c>
      <c r="K37">
        <f>IFERROR(INDEX(Sheet2!$C$2:$C$1132,MATCH(Sheet1!C37,Sheet1!$C$2:$C$1132,0)),"")</f>
        <v>30000</v>
      </c>
      <c r="L37">
        <f>IFERROR(INDEX(Sheet2!$D$2:$D$1132,MATCH(Sheet1!C37,$C$2:$C$1132,0)),"")</f>
        <v>60000</v>
      </c>
      <c r="M37" t="str">
        <f>IFERROR(INDEX($M$2:$M$1132,MATCH(B37,$B$2:$B$1132,0)),"")</f>
        <v>SQL, EXCEL, POWERBI, TABLEAU</v>
      </c>
      <c r="N37" t="s">
        <v>76</v>
      </c>
      <c r="O37" t="s">
        <v>78</v>
      </c>
    </row>
    <row r="38" spans="1:15" x14ac:dyDescent="0.25">
      <c r="A38">
        <v>17886</v>
      </c>
      <c r="B38" t="s">
        <v>14</v>
      </c>
      <c r="C38" t="s">
        <v>26</v>
      </c>
      <c r="D38" t="str">
        <f>IFERROR(INDEX(Sheet2!$B$2:$B$1132,MATCH(Sheet1!C38,Sheet1!$C$2:$C$1132,0)),"IDK")</f>
        <v>FINANCE</v>
      </c>
      <c r="E38" t="s">
        <v>47</v>
      </c>
      <c r="F38" t="s">
        <v>53</v>
      </c>
      <c r="G38" s="1">
        <v>45323</v>
      </c>
      <c r="H38" t="s">
        <v>56</v>
      </c>
      <c r="I38" s="2" t="s">
        <v>112</v>
      </c>
      <c r="J38" s="2" t="s">
        <v>113</v>
      </c>
      <c r="K38">
        <f>IFERROR(INDEX(Sheet2!$C$2:$C$1132,MATCH(Sheet1!C38,Sheet1!$C$2:$C$1132,0)),"")</f>
        <v>35000</v>
      </c>
      <c r="L38">
        <f>IFERROR(INDEX(Sheet2!$D$2:$D$1132,MATCH(Sheet1!C38,$C$2:$C$1132,0)),"")</f>
        <v>75000</v>
      </c>
      <c r="M38" t="str">
        <f>IFERROR(INDEX($M$2:$M$1132,MATCH(B38,$B$2:$B$1132,0)),"")</f>
        <v>SQL, EXCEL, POWERBI, TABLEAU</v>
      </c>
      <c r="N38" t="s">
        <v>76</v>
      </c>
      <c r="O38" t="s">
        <v>80</v>
      </c>
    </row>
    <row r="39" spans="1:15" x14ac:dyDescent="0.25">
      <c r="A39">
        <v>17887</v>
      </c>
      <c r="B39" t="s">
        <v>14</v>
      </c>
      <c r="C39" t="s">
        <v>27</v>
      </c>
      <c r="D39" t="str">
        <f>IFERROR(INDEX(Sheet2!$B$2:$B$1132,MATCH(Sheet1!C39,Sheet1!$C$2:$C$1132,0)),"IDK")</f>
        <v>IT</v>
      </c>
      <c r="E39" t="s">
        <v>47</v>
      </c>
      <c r="F39" t="s">
        <v>53</v>
      </c>
      <c r="G39" s="1">
        <v>45402</v>
      </c>
      <c r="H39" t="s">
        <v>56</v>
      </c>
      <c r="I39" s="2" t="s">
        <v>114</v>
      </c>
      <c r="J39" s="2" t="s">
        <v>115</v>
      </c>
      <c r="K39">
        <f>IFERROR(INDEX(Sheet2!$C$2:$C$1132,MATCH(Sheet1!C39,Sheet1!$C$2:$C$1132,0)),"")</f>
        <v>40000</v>
      </c>
      <c r="L39">
        <f>IFERROR(INDEX(Sheet2!$D$2:$D$1132,MATCH(Sheet1!C39,$C$2:$C$1132,0)),"")</f>
        <v>80000</v>
      </c>
      <c r="M39" t="str">
        <f>IFERROR(INDEX($M$2:$M$1132,MATCH(B39,$B$2:$B$1132,0)),"")</f>
        <v>SQL, EXCEL, POWERBI, TABLEAU</v>
      </c>
      <c r="N39" t="s">
        <v>76</v>
      </c>
      <c r="O39" t="s">
        <v>79</v>
      </c>
    </row>
    <row r="40" spans="1:15" x14ac:dyDescent="0.25">
      <c r="A40">
        <v>17888</v>
      </c>
      <c r="B40" t="s">
        <v>14</v>
      </c>
      <c r="C40" t="s">
        <v>28</v>
      </c>
      <c r="D40" t="str">
        <f>IFERROR(INDEX(Sheet2!$B$2:$B$1132,MATCH(Sheet1!C40,Sheet1!$C$2:$C$1132,0)),"IDK")</f>
        <v>IT</v>
      </c>
      <c r="E40" t="s">
        <v>47</v>
      </c>
      <c r="F40" t="s">
        <v>53</v>
      </c>
      <c r="G40" s="1">
        <v>45588</v>
      </c>
      <c r="H40" t="s">
        <v>56</v>
      </c>
      <c r="I40" s="2" t="s">
        <v>116</v>
      </c>
      <c r="J40" s="2" t="s">
        <v>117</v>
      </c>
      <c r="K40">
        <f>IFERROR(INDEX(Sheet2!$C$2:$C$1132,MATCH(Sheet1!C40,Sheet1!$C$2:$C$1132,0)),"")</f>
        <v>30000</v>
      </c>
      <c r="L40">
        <f>IFERROR(INDEX(Sheet2!$D$2:$D$1132,MATCH(Sheet1!C40,$C$2:$C$1132,0)),"")</f>
        <v>55000</v>
      </c>
      <c r="M40" t="str">
        <f>IFERROR(INDEX($M$2:$M$1132,MATCH(B40,$B$2:$B$1132,0)),"")</f>
        <v>SQL, EXCEL, POWERBI, TABLEAU</v>
      </c>
      <c r="N40" t="s">
        <v>76</v>
      </c>
      <c r="O40" t="s">
        <v>37</v>
      </c>
    </row>
    <row r="41" spans="1:15" x14ac:dyDescent="0.25">
      <c r="A41">
        <v>17889</v>
      </c>
      <c r="B41" t="s">
        <v>14</v>
      </c>
      <c r="C41" t="s">
        <v>29</v>
      </c>
      <c r="D41" t="str">
        <f>IFERROR(INDEX(Sheet2!$B$2:$B$1132,MATCH(Sheet1!C41,Sheet1!$C$2:$C$1132,0)),"IDK")</f>
        <v>IT</v>
      </c>
      <c r="E41" t="s">
        <v>48</v>
      </c>
      <c r="F41" t="s">
        <v>53</v>
      </c>
      <c r="G41" s="1">
        <v>45350</v>
      </c>
      <c r="H41" t="s">
        <v>56</v>
      </c>
      <c r="I41" s="2" t="s">
        <v>118</v>
      </c>
      <c r="J41" s="2" t="s">
        <v>119</v>
      </c>
      <c r="K41">
        <f>IFERROR(INDEX(Sheet2!$C$2:$C$1132,MATCH(Sheet1!C41,Sheet1!$C$2:$C$1132,0)),"")</f>
        <v>35000</v>
      </c>
      <c r="L41">
        <f>IFERROR(INDEX(Sheet2!$D$2:$D$1132,MATCH(Sheet1!C41,$C$2:$C$1132,0)),"")</f>
        <v>70000</v>
      </c>
      <c r="M41" t="str">
        <f>IFERROR(INDEX($M$2:$M$1132,MATCH(B41,$B$2:$B$1132,0)),"")</f>
        <v>SQL, EXCEL, POWERBI, TABLEAU</v>
      </c>
      <c r="N41" t="s">
        <v>76</v>
      </c>
      <c r="O41" t="s">
        <v>78</v>
      </c>
    </row>
    <row r="42" spans="1:15" x14ac:dyDescent="0.25">
      <c r="A42">
        <v>17890</v>
      </c>
      <c r="B42" t="s">
        <v>15</v>
      </c>
      <c r="C42" t="s">
        <v>23</v>
      </c>
      <c r="D42" t="str">
        <f>IFERROR(INDEX(Sheet2!$B$2:$B$1132,MATCH(Sheet1!C42,Sheet1!$C$2:$C$1132,0)),"IDK")</f>
        <v>IT</v>
      </c>
      <c r="E42" t="s">
        <v>48</v>
      </c>
      <c r="F42" t="s">
        <v>53</v>
      </c>
      <c r="G42" s="1">
        <v>45589</v>
      </c>
      <c r="H42" t="s">
        <v>56</v>
      </c>
      <c r="I42" s="2" t="s">
        <v>118</v>
      </c>
      <c r="J42" s="2" t="s">
        <v>120</v>
      </c>
      <c r="K42">
        <f>IFERROR(INDEX(Sheet2!$C$2:$C$1132,MATCH(Sheet1!C42,Sheet1!$C$2:$C$1132,0)),"")</f>
        <v>35000</v>
      </c>
      <c r="L42">
        <f>IFERROR(INDEX(Sheet2!$D$2:$D$1132,MATCH(Sheet1!C42,$C$2:$C$1132,0)),"")</f>
        <v>70000</v>
      </c>
      <c r="M42" t="str">
        <f>IFERROR(INDEX($M$2:$M$1132,MATCH(B42,$B$2:$B$1132,0)),"")</f>
        <v>SQL, PYTHON, AWS, SPARK, ETL</v>
      </c>
      <c r="N42" t="s">
        <v>76</v>
      </c>
      <c r="O42" t="s">
        <v>79</v>
      </c>
    </row>
    <row r="43" spans="1:15" x14ac:dyDescent="0.25">
      <c r="A43">
        <v>17891</v>
      </c>
      <c r="B43" t="s">
        <v>15</v>
      </c>
      <c r="C43" t="s">
        <v>30</v>
      </c>
      <c r="D43" t="str">
        <f>IFERROR(INDEX(Sheet2!$B$2:$B$1132,MATCH(Sheet1!C43,Sheet1!$C$2:$C$1132,0)),"IDK")</f>
        <v>IT</v>
      </c>
      <c r="E43" t="s">
        <v>48</v>
      </c>
      <c r="F43" t="s">
        <v>53</v>
      </c>
      <c r="G43" s="1">
        <v>45539</v>
      </c>
      <c r="H43" t="s">
        <v>56</v>
      </c>
      <c r="I43" s="2" t="s">
        <v>121</v>
      </c>
      <c r="J43" s="2" t="s">
        <v>122</v>
      </c>
      <c r="K43">
        <f>IFERROR(INDEX(Sheet2!$C$2:$C$1132,MATCH(Sheet1!C43,Sheet1!$C$2:$C$1132,0)),"")</f>
        <v>25000</v>
      </c>
      <c r="L43">
        <f>IFERROR(INDEX(Sheet2!$D$2:$D$1132,MATCH(Sheet1!C43,$C$2:$C$1132,0)),"")</f>
        <v>60000</v>
      </c>
      <c r="M43" t="str">
        <f>IFERROR(INDEX($M$2:$M$1132,MATCH(B43,$B$2:$B$1132,0)),"")</f>
        <v>SQL, PYTHON, AWS, SPARK, ETL</v>
      </c>
      <c r="N43" t="s">
        <v>76</v>
      </c>
      <c r="O43" t="s">
        <v>80</v>
      </c>
    </row>
    <row r="44" spans="1:15" x14ac:dyDescent="0.25">
      <c r="A44">
        <v>17892</v>
      </c>
      <c r="B44" t="s">
        <v>15</v>
      </c>
      <c r="C44" t="s">
        <v>31</v>
      </c>
      <c r="D44" t="str">
        <f>IFERROR(INDEX(Sheet2!$B$2:$B$1132,MATCH(Sheet1!C44,Sheet1!$C$2:$C$1132,0)),"IDK")</f>
        <v>IT</v>
      </c>
      <c r="E44" t="s">
        <v>48</v>
      </c>
      <c r="F44" t="s">
        <v>53</v>
      </c>
      <c r="G44" s="1">
        <v>45540</v>
      </c>
      <c r="H44" t="s">
        <v>56</v>
      </c>
      <c r="I44" s="2" t="s">
        <v>123</v>
      </c>
      <c r="J44" s="2" t="s">
        <v>124</v>
      </c>
      <c r="K44">
        <f>IFERROR(INDEX(Sheet2!$C$2:$C$1132,MATCH(Sheet1!C44,Sheet1!$C$2:$C$1132,0)),"")</f>
        <v>25000</v>
      </c>
      <c r="L44">
        <f>IFERROR(INDEX(Sheet2!$D$2:$D$1132,MATCH(Sheet1!C44,$C$2:$C$1132,0)),"")</f>
        <v>75000</v>
      </c>
      <c r="M44" t="str">
        <f>IFERROR(INDEX($M$2:$M$1132,MATCH(B44,$B$2:$B$1132,0)),"")</f>
        <v>SQL, PYTHON, AWS, SPARK, ETL</v>
      </c>
      <c r="N44" t="s">
        <v>76</v>
      </c>
      <c r="O44" t="s">
        <v>77</v>
      </c>
    </row>
    <row r="45" spans="1:15" x14ac:dyDescent="0.25">
      <c r="A45">
        <v>17893</v>
      </c>
      <c r="B45" t="s">
        <v>15</v>
      </c>
      <c r="C45" t="s">
        <v>32</v>
      </c>
      <c r="D45" t="str">
        <f>IFERROR(INDEX(Sheet2!$B$2:$B$1132,MATCH(Sheet1!C45,Sheet1!$C$2:$C$1132,0)),"IDK")</f>
        <v>SOCIAL</v>
      </c>
      <c r="E45" t="s">
        <v>48</v>
      </c>
      <c r="F45" t="s">
        <v>53</v>
      </c>
      <c r="G45" s="1">
        <v>45346</v>
      </c>
      <c r="H45" t="s">
        <v>56</v>
      </c>
      <c r="I45" s="2" t="s">
        <v>125</v>
      </c>
      <c r="J45" s="2" t="s">
        <v>126</v>
      </c>
      <c r="K45">
        <f>IFERROR(INDEX(Sheet2!$C$2:$C$1132,MATCH(Sheet1!C45,Sheet1!$C$2:$C$1132,0)),"")</f>
        <v>20000</v>
      </c>
      <c r="L45">
        <f>IFERROR(INDEX(Sheet2!$D$2:$D$1132,MATCH(Sheet1!C45,$C$2:$C$1132,0)),"")</f>
        <v>70000</v>
      </c>
      <c r="M45" t="str">
        <f>IFERROR(INDEX($M$2:$M$1132,MATCH(B45,$B$2:$B$1132,0)),"")</f>
        <v>SQL, PYTHON, AWS, SPARK, ETL</v>
      </c>
      <c r="N45" t="s">
        <v>76</v>
      </c>
      <c r="O45" t="s">
        <v>79</v>
      </c>
    </row>
    <row r="46" spans="1:15" x14ac:dyDescent="0.25">
      <c r="A46">
        <v>17894</v>
      </c>
      <c r="B46" t="s">
        <v>15</v>
      </c>
      <c r="C46" t="s">
        <v>33</v>
      </c>
      <c r="D46" t="str">
        <f>IFERROR(INDEX(Sheet2!$B$2:$B$1132,MATCH(Sheet1!C46,Sheet1!$C$2:$C$1132,0)),"IDK")</f>
        <v>FINANCE</v>
      </c>
      <c r="E46" t="s">
        <v>48</v>
      </c>
      <c r="F46" t="s">
        <v>53</v>
      </c>
      <c r="G46" s="1">
        <v>45655</v>
      </c>
      <c r="H46" t="s">
        <v>56</v>
      </c>
      <c r="I46" s="2" t="s">
        <v>127</v>
      </c>
      <c r="J46" s="2" t="s">
        <v>128</v>
      </c>
      <c r="K46">
        <f>IFERROR(INDEX(Sheet2!$C$2:$C$1132,MATCH(Sheet1!C46,Sheet1!$C$2:$C$1132,0)),"")</f>
        <v>40000</v>
      </c>
      <c r="L46">
        <f>IFERROR(INDEX(Sheet2!$D$2:$D$1132,MATCH(Sheet1!C46,$C$2:$C$1132,0)),"")</f>
        <v>85000</v>
      </c>
      <c r="M46" t="str">
        <f>IFERROR(INDEX($M$2:$M$1132,MATCH(B46,$B$2:$B$1132,0)),"")</f>
        <v>SQL, PYTHON, AWS, SPARK, ETL</v>
      </c>
      <c r="N46" t="s">
        <v>76</v>
      </c>
      <c r="O46" t="s">
        <v>37</v>
      </c>
    </row>
    <row r="47" spans="1:15" x14ac:dyDescent="0.25">
      <c r="A47">
        <v>17895</v>
      </c>
      <c r="B47" t="s">
        <v>15</v>
      </c>
      <c r="C47" t="s">
        <v>34</v>
      </c>
      <c r="D47" t="str">
        <f>IFERROR(INDEX(Sheet2!$B$2:$B$1132,MATCH(Sheet1!C47,Sheet1!$C$2:$C$1132,0)),"IDK")</f>
        <v>IT</v>
      </c>
      <c r="E47" t="s">
        <v>48</v>
      </c>
      <c r="F47" t="s">
        <v>53</v>
      </c>
      <c r="G47" s="1">
        <v>45510</v>
      </c>
      <c r="H47" t="s">
        <v>56</v>
      </c>
      <c r="I47" s="3" t="s">
        <v>106</v>
      </c>
      <c r="J47" s="2" t="s">
        <v>107</v>
      </c>
      <c r="K47">
        <f>IFERROR(INDEX(Sheet2!$C$2:$C$1132,MATCH(Sheet1!C47,Sheet1!$C$2:$C$1132,0)),"")</f>
        <v>35000</v>
      </c>
      <c r="L47">
        <f>IFERROR(INDEX(Sheet2!$D$2:$D$1132,MATCH(Sheet1!C47,$C$2:$C$1132,0)),"")</f>
        <v>90000</v>
      </c>
      <c r="M47" t="str">
        <f>IFERROR(INDEX($M$2:$M$1132,MATCH(B47,$B$2:$B$1132,0)),"")</f>
        <v>SQL, PYTHON, AWS, SPARK, ETL</v>
      </c>
      <c r="N47" t="s">
        <v>76</v>
      </c>
      <c r="O47" t="s">
        <v>78</v>
      </c>
    </row>
    <row r="48" spans="1:15" x14ac:dyDescent="0.25">
      <c r="A48">
        <v>17896</v>
      </c>
      <c r="B48" t="s">
        <v>15</v>
      </c>
      <c r="C48" t="s">
        <v>35</v>
      </c>
      <c r="D48" t="str">
        <f>IFERROR(INDEX(Sheet2!$B$2:$B$1132,MATCH(Sheet1!C48,Sheet1!$C$2:$C$1132,0)),"IDK")</f>
        <v>SOCIAL</v>
      </c>
      <c r="E48" t="s">
        <v>48</v>
      </c>
      <c r="F48" t="s">
        <v>53</v>
      </c>
      <c r="G48" s="1">
        <v>45449</v>
      </c>
      <c r="H48" t="s">
        <v>56</v>
      </c>
      <c r="I48" s="3" t="s">
        <v>106</v>
      </c>
      <c r="J48" s="2" t="s">
        <v>108</v>
      </c>
      <c r="K48">
        <f>IFERROR(INDEX(Sheet2!$C$2:$C$1132,MATCH(Sheet1!C48,Sheet1!$C$2:$C$1132,0)),"")</f>
        <v>30000</v>
      </c>
      <c r="L48">
        <f>IFERROR(INDEX(Sheet2!$D$2:$D$1132,MATCH(Sheet1!C48,$C$2:$C$1132,0)),"")</f>
        <v>95000</v>
      </c>
      <c r="M48" t="str">
        <f>IFERROR(INDEX($M$2:$M$1132,MATCH(B48,$B$2:$B$1132,0)),"")</f>
        <v>SQL, PYTHON, AWS, SPARK, ETL</v>
      </c>
      <c r="N48" t="s">
        <v>76</v>
      </c>
      <c r="O48" t="s">
        <v>80</v>
      </c>
    </row>
    <row r="49" spans="1:15" x14ac:dyDescent="0.25">
      <c r="A49">
        <v>17897</v>
      </c>
      <c r="B49" t="s">
        <v>15</v>
      </c>
      <c r="C49" t="s">
        <v>36</v>
      </c>
      <c r="D49" t="str">
        <f>IFERROR(INDEX(Sheet2!$B$2:$B$1132,MATCH(Sheet1!C49,Sheet1!$C$2:$C$1132,0)),"IDK")</f>
        <v>IT</v>
      </c>
      <c r="E49" t="s">
        <v>48</v>
      </c>
      <c r="F49" t="s">
        <v>53</v>
      </c>
      <c r="G49" s="1">
        <v>45532</v>
      </c>
      <c r="H49" t="s">
        <v>56</v>
      </c>
      <c r="I49" s="2" t="s">
        <v>109</v>
      </c>
      <c r="J49" s="2" t="s">
        <v>110</v>
      </c>
      <c r="K49">
        <f>IFERROR(INDEX(Sheet2!$C$2:$C$1132,MATCH(Sheet1!C49,Sheet1!$C$2:$C$1132,0)),"")</f>
        <v>50000</v>
      </c>
      <c r="L49">
        <f>IFERROR(INDEX(Sheet2!$D$2:$D$1132,MATCH(Sheet1!C49,$C$2:$C$1132,0)),"")</f>
        <v>100000</v>
      </c>
      <c r="M49" t="str">
        <f>IFERROR(INDEX($M$2:$M$1132,MATCH(B49,$B$2:$B$1132,0)),"")</f>
        <v>SQL, PYTHON, AWS, SPARK, ETL</v>
      </c>
      <c r="N49" t="s">
        <v>76</v>
      </c>
      <c r="O49" t="s">
        <v>79</v>
      </c>
    </row>
    <row r="50" spans="1:15" x14ac:dyDescent="0.25">
      <c r="A50">
        <v>17898</v>
      </c>
      <c r="B50" t="s">
        <v>15</v>
      </c>
      <c r="C50" t="s">
        <v>27</v>
      </c>
      <c r="D50" t="str">
        <f>IFERROR(INDEX(Sheet2!$B$2:$B$1132,MATCH(Sheet1!C50,Sheet1!$C$2:$C$1132,0)),"IDK")</f>
        <v>IT</v>
      </c>
      <c r="E50" t="s">
        <v>48</v>
      </c>
      <c r="F50" t="s">
        <v>53</v>
      </c>
      <c r="G50" s="1">
        <v>45369</v>
      </c>
      <c r="H50" t="s">
        <v>56</v>
      </c>
      <c r="I50" s="2" t="s">
        <v>109</v>
      </c>
      <c r="J50" s="2" t="s">
        <v>111</v>
      </c>
      <c r="K50">
        <f>IFERROR(INDEX(Sheet2!$C$2:$C$1132,MATCH(Sheet1!C50,Sheet1!$C$2:$C$1132,0)),"")</f>
        <v>40000</v>
      </c>
      <c r="L50">
        <f>IFERROR(INDEX(Sheet2!$D$2:$D$1132,MATCH(Sheet1!C50,$C$2:$C$1132,0)),"")</f>
        <v>80000</v>
      </c>
      <c r="M50" t="str">
        <f>IFERROR(INDEX($M$2:$M$1132,MATCH(B50,$B$2:$B$1132,0)),"")</f>
        <v>SQL, PYTHON, AWS, SPARK, ETL</v>
      </c>
      <c r="N50" t="s">
        <v>76</v>
      </c>
      <c r="O50" t="s">
        <v>37</v>
      </c>
    </row>
    <row r="51" spans="1:15" x14ac:dyDescent="0.25">
      <c r="A51">
        <v>17899</v>
      </c>
      <c r="B51" t="s">
        <v>15</v>
      </c>
      <c r="C51" t="s">
        <v>28</v>
      </c>
      <c r="D51" t="str">
        <f>IFERROR(INDEX(Sheet2!$B$2:$B$1132,MATCH(Sheet1!C51,Sheet1!$C$2:$C$1132,0)),"IDK")</f>
        <v>IT</v>
      </c>
      <c r="E51" t="s">
        <v>48</v>
      </c>
      <c r="F51" t="s">
        <v>53</v>
      </c>
      <c r="G51" s="1">
        <v>45469</v>
      </c>
      <c r="H51" t="s">
        <v>56</v>
      </c>
      <c r="I51" s="2" t="s">
        <v>112</v>
      </c>
      <c r="J51" s="2" t="s">
        <v>113</v>
      </c>
      <c r="K51">
        <f>IFERROR(INDEX(Sheet2!$C$2:$C$1132,MATCH(Sheet1!C51,Sheet1!$C$2:$C$1132,0)),"")</f>
        <v>30000</v>
      </c>
      <c r="L51">
        <f>IFERROR(INDEX(Sheet2!$D$2:$D$1132,MATCH(Sheet1!C51,$C$2:$C$1132,0)),"")</f>
        <v>55000</v>
      </c>
      <c r="M51" t="str">
        <f>IFERROR(INDEX($M$2:$M$1132,MATCH(B51,$B$2:$B$1132,0)),"")</f>
        <v>SQL, PYTHON, AWS, SPARK, ETL</v>
      </c>
      <c r="N51" t="s">
        <v>76</v>
      </c>
      <c r="O51" t="s">
        <v>78</v>
      </c>
    </row>
    <row r="52" spans="1:15" x14ac:dyDescent="0.25">
      <c r="A52">
        <v>17900</v>
      </c>
      <c r="B52" t="s">
        <v>15</v>
      </c>
      <c r="C52" t="s">
        <v>29</v>
      </c>
      <c r="D52" t="str">
        <f>IFERROR(INDEX(Sheet2!$B$2:$B$1132,MATCH(Sheet1!C52,Sheet1!$C$2:$C$1132,0)),"IDK")</f>
        <v>IT</v>
      </c>
      <c r="E52" t="s">
        <v>48</v>
      </c>
      <c r="F52" t="s">
        <v>53</v>
      </c>
      <c r="G52" s="1">
        <v>45350</v>
      </c>
      <c r="H52" t="s">
        <v>56</v>
      </c>
      <c r="I52" s="2" t="s">
        <v>114</v>
      </c>
      <c r="J52" s="2" t="s">
        <v>115</v>
      </c>
      <c r="K52">
        <f>IFERROR(INDEX(Sheet2!$C$2:$C$1132,MATCH(Sheet1!C52,Sheet1!$C$2:$C$1132,0)),"")</f>
        <v>35000</v>
      </c>
      <c r="L52">
        <f>IFERROR(INDEX(Sheet2!$D$2:$D$1132,MATCH(Sheet1!C52,$C$2:$C$1132,0)),"")</f>
        <v>70000</v>
      </c>
      <c r="M52" t="str">
        <f>IFERROR(INDEX($M$2:$M$1132,MATCH(B52,$B$2:$B$1132,0)),"")</f>
        <v>SQL, PYTHON, AWS, SPARK, ETL</v>
      </c>
      <c r="N52" t="s">
        <v>76</v>
      </c>
      <c r="O52" t="s">
        <v>79</v>
      </c>
    </row>
    <row r="53" spans="1:15" x14ac:dyDescent="0.25">
      <c r="A53">
        <v>17901</v>
      </c>
      <c r="B53" t="s">
        <v>15</v>
      </c>
      <c r="C53" t="s">
        <v>23</v>
      </c>
      <c r="D53" t="str">
        <f>IFERROR(INDEX(Sheet2!$B$2:$B$1132,MATCH(Sheet1!C53,Sheet1!$C$2:$C$1132,0)),"IDK")</f>
        <v>IT</v>
      </c>
      <c r="E53" t="s">
        <v>48</v>
      </c>
      <c r="F53" t="s">
        <v>53</v>
      </c>
      <c r="G53" s="1">
        <v>45632</v>
      </c>
      <c r="H53" t="s">
        <v>56</v>
      </c>
      <c r="I53" s="2" t="s">
        <v>116</v>
      </c>
      <c r="J53" s="2" t="s">
        <v>117</v>
      </c>
      <c r="K53">
        <f>IFERROR(INDEX(Sheet2!$C$2:$C$1132,MATCH(Sheet1!C53,Sheet1!$C$2:$C$1132,0)),"")</f>
        <v>35000</v>
      </c>
      <c r="L53">
        <f>IFERROR(INDEX(Sheet2!$D$2:$D$1132,MATCH(Sheet1!C53,$C$2:$C$1132,0)),"")</f>
        <v>70000</v>
      </c>
      <c r="M53" t="str">
        <f>IFERROR(INDEX($M$2:$M$1132,MATCH(B53,$B$2:$B$1132,0)),"")</f>
        <v>SQL, PYTHON, AWS, SPARK, ETL</v>
      </c>
      <c r="N53" t="s">
        <v>76</v>
      </c>
      <c r="O53" t="s">
        <v>80</v>
      </c>
    </row>
    <row r="54" spans="1:15" x14ac:dyDescent="0.25">
      <c r="A54">
        <v>17902</v>
      </c>
      <c r="B54" t="s">
        <v>17</v>
      </c>
      <c r="C54" t="s">
        <v>30</v>
      </c>
      <c r="D54" t="str">
        <f>IFERROR(INDEX(Sheet2!$B$2:$B$1132,MATCH(Sheet1!C54,Sheet1!$C$2:$C$1132,0)),"IDK")</f>
        <v>IT</v>
      </c>
      <c r="E54" t="s">
        <v>48</v>
      </c>
      <c r="F54" t="s">
        <v>53</v>
      </c>
      <c r="G54" s="1">
        <v>45625</v>
      </c>
      <c r="H54" t="s">
        <v>56</v>
      </c>
      <c r="I54" s="2" t="s">
        <v>118</v>
      </c>
      <c r="J54" s="2" t="s">
        <v>119</v>
      </c>
      <c r="K54">
        <f>IFERROR(INDEX(Sheet2!$C$2:$C$1132,MATCH(Sheet1!C54,Sheet1!$C$2:$C$1132,0)),"")</f>
        <v>25000</v>
      </c>
      <c r="L54">
        <f>IFERROR(INDEX(Sheet2!$D$2:$D$1132,MATCH(Sheet1!C54,$C$2:$C$1132,0)),"")</f>
        <v>60000</v>
      </c>
      <c r="M54" t="str">
        <f>IFERROR(INDEX($M$2:$M$1132,MATCH(B54,$B$2:$B$1132,0)),"")</f>
        <v>EXCEL, SQL, TABLEAU, BUSINESS ANALYSIS</v>
      </c>
      <c r="N54" t="s">
        <v>76</v>
      </c>
      <c r="O54" t="s">
        <v>77</v>
      </c>
    </row>
    <row r="55" spans="1:15" x14ac:dyDescent="0.25">
      <c r="A55">
        <v>17903</v>
      </c>
      <c r="B55" t="s">
        <v>17</v>
      </c>
      <c r="C55" t="s">
        <v>31</v>
      </c>
      <c r="D55" t="str">
        <f>IFERROR(INDEX(Sheet2!$B$2:$B$1132,MATCH(Sheet1!C55,Sheet1!$C$2:$C$1132,0)),"IDK")</f>
        <v>IT</v>
      </c>
      <c r="E55" t="s">
        <v>48</v>
      </c>
      <c r="F55" t="s">
        <v>53</v>
      </c>
      <c r="G55" s="1">
        <v>45640</v>
      </c>
      <c r="H55" t="s">
        <v>56</v>
      </c>
      <c r="I55" s="2" t="s">
        <v>118</v>
      </c>
      <c r="J55" s="2" t="s">
        <v>120</v>
      </c>
      <c r="K55">
        <f>IFERROR(INDEX(Sheet2!$C$2:$C$1132,MATCH(Sheet1!C55,Sheet1!$C$2:$C$1132,0)),"")</f>
        <v>25000</v>
      </c>
      <c r="L55">
        <f>IFERROR(INDEX(Sheet2!$D$2:$D$1132,MATCH(Sheet1!C55,$C$2:$C$1132,0)),"")</f>
        <v>75000</v>
      </c>
      <c r="M55" t="str">
        <f>IFERROR(INDEX($M$2:$M$1132,MATCH(B55,$B$2:$B$1132,0)),"")</f>
        <v>EXCEL, SQL, TABLEAU, BUSINESS ANALYSIS</v>
      </c>
      <c r="N55" t="s">
        <v>76</v>
      </c>
      <c r="O55" t="s">
        <v>79</v>
      </c>
    </row>
    <row r="56" spans="1:15" x14ac:dyDescent="0.25">
      <c r="A56">
        <v>17904</v>
      </c>
      <c r="B56" t="s">
        <v>17</v>
      </c>
      <c r="C56" t="s">
        <v>32</v>
      </c>
      <c r="D56" t="str">
        <f>IFERROR(INDEX(Sheet2!$B$2:$B$1132,MATCH(Sheet1!C56,Sheet1!$C$2:$C$1132,0)),"IDK")</f>
        <v>SOCIAL</v>
      </c>
      <c r="E56" t="s">
        <v>48</v>
      </c>
      <c r="F56" t="s">
        <v>53</v>
      </c>
      <c r="G56" s="1">
        <v>45513</v>
      </c>
      <c r="H56" t="s">
        <v>56</v>
      </c>
      <c r="I56" s="2" t="s">
        <v>121</v>
      </c>
      <c r="J56" s="2" t="s">
        <v>122</v>
      </c>
      <c r="K56">
        <f>IFERROR(INDEX(Sheet2!$C$2:$C$1132,MATCH(Sheet1!C56,Sheet1!$C$2:$C$1132,0)),"")</f>
        <v>20000</v>
      </c>
      <c r="L56">
        <f>IFERROR(INDEX(Sheet2!$D$2:$D$1132,MATCH(Sheet1!C56,$C$2:$C$1132,0)),"")</f>
        <v>70000</v>
      </c>
      <c r="M56" t="str">
        <f>IFERROR(INDEX($M$2:$M$1132,MATCH(B56,$B$2:$B$1132,0)),"")</f>
        <v>EXCEL, SQL, TABLEAU, BUSINESS ANALYSIS</v>
      </c>
      <c r="N56" t="s">
        <v>76</v>
      </c>
      <c r="O56" t="s">
        <v>37</v>
      </c>
    </row>
    <row r="57" spans="1:15" x14ac:dyDescent="0.25">
      <c r="A57">
        <v>17905</v>
      </c>
      <c r="B57" t="s">
        <v>17</v>
      </c>
      <c r="C57" t="s">
        <v>33</v>
      </c>
      <c r="D57" t="str">
        <f>IFERROR(INDEX(Sheet2!$B$2:$B$1132,MATCH(Sheet1!C57,Sheet1!$C$2:$C$1132,0)),"IDK")</f>
        <v>FINANCE</v>
      </c>
      <c r="E57" t="s">
        <v>48</v>
      </c>
      <c r="F57" t="s">
        <v>53</v>
      </c>
      <c r="G57" s="1">
        <v>45366</v>
      </c>
      <c r="H57" t="s">
        <v>56</v>
      </c>
      <c r="I57" s="2" t="s">
        <v>123</v>
      </c>
      <c r="J57" s="2" t="s">
        <v>124</v>
      </c>
      <c r="K57">
        <f>IFERROR(INDEX(Sheet2!$C$2:$C$1132,MATCH(Sheet1!C57,Sheet1!$C$2:$C$1132,0)),"")</f>
        <v>40000</v>
      </c>
      <c r="L57">
        <f>IFERROR(INDEX(Sheet2!$D$2:$D$1132,MATCH(Sheet1!C57,$C$2:$C$1132,0)),"")</f>
        <v>85000</v>
      </c>
      <c r="M57" t="str">
        <f>IFERROR(INDEX($M$2:$M$1132,MATCH(B57,$B$2:$B$1132,0)),"")</f>
        <v>EXCEL, SQL, TABLEAU, BUSINESS ANALYSIS</v>
      </c>
      <c r="N57" t="s">
        <v>76</v>
      </c>
      <c r="O57" t="s">
        <v>78</v>
      </c>
    </row>
    <row r="58" spans="1:15" x14ac:dyDescent="0.25">
      <c r="A58">
        <v>17906</v>
      </c>
      <c r="B58" t="s">
        <v>17</v>
      </c>
      <c r="C58" t="s">
        <v>23</v>
      </c>
      <c r="D58" t="str">
        <f>IFERROR(INDEX(Sheet2!$B$2:$B$1132,MATCH(Sheet1!C58,Sheet1!$C$2:$C$1132,0)),"IDK")</f>
        <v>IT</v>
      </c>
      <c r="E58" t="s">
        <v>48</v>
      </c>
      <c r="F58" t="s">
        <v>53</v>
      </c>
      <c r="G58" s="1">
        <v>45627</v>
      </c>
      <c r="H58" t="s">
        <v>56</v>
      </c>
      <c r="I58" s="2" t="s">
        <v>125</v>
      </c>
      <c r="J58" s="2" t="s">
        <v>126</v>
      </c>
      <c r="K58">
        <f>IFERROR(INDEX(Sheet2!$C$2:$C$1132,MATCH(Sheet1!C58,Sheet1!$C$2:$C$1132,0)),"")</f>
        <v>35000</v>
      </c>
      <c r="L58">
        <f>IFERROR(INDEX(Sheet2!$D$2:$D$1132,MATCH(Sheet1!C58,$C$2:$C$1132,0)),"")</f>
        <v>70000</v>
      </c>
      <c r="M58" t="str">
        <f>IFERROR(INDEX($M$2:$M$1132,MATCH(B58,$B$2:$B$1132,0)),"")</f>
        <v>EXCEL, SQL, TABLEAU, BUSINESS ANALYSIS</v>
      </c>
      <c r="N58" t="s">
        <v>76</v>
      </c>
      <c r="O58" t="s">
        <v>80</v>
      </c>
    </row>
    <row r="59" spans="1:15" x14ac:dyDescent="0.25">
      <c r="A59">
        <v>17907</v>
      </c>
      <c r="B59" t="s">
        <v>17</v>
      </c>
      <c r="C59" t="s">
        <v>24</v>
      </c>
      <c r="D59" t="str">
        <f>IFERROR(INDEX(Sheet2!$B$2:$B$1132,MATCH(Sheet1!C59,Sheet1!$C$2:$C$1132,0)),"IDK")</f>
        <v>HEALTH</v>
      </c>
      <c r="E59" t="s">
        <v>48</v>
      </c>
      <c r="F59" t="s">
        <v>53</v>
      </c>
      <c r="G59" s="1">
        <v>45591</v>
      </c>
      <c r="H59" t="s">
        <v>56</v>
      </c>
      <c r="I59" s="2" t="s">
        <v>127</v>
      </c>
      <c r="J59" s="2" t="s">
        <v>128</v>
      </c>
      <c r="K59">
        <f>IFERROR(INDEX(Sheet2!$C$2:$C$1132,MATCH(Sheet1!C59,Sheet1!$C$2:$C$1132,0)),"")</f>
        <v>25000</v>
      </c>
      <c r="L59">
        <f>IFERROR(INDEX(Sheet2!$D$2:$D$1132,MATCH(Sheet1!C59,$C$2:$C$1132,0)),"")</f>
        <v>50000</v>
      </c>
      <c r="M59" t="str">
        <f>IFERROR(INDEX($M$2:$M$1132,MATCH(B59,$B$2:$B$1132,0)),"")</f>
        <v>EXCEL, SQL, TABLEAU, BUSINESS ANALYSIS</v>
      </c>
      <c r="N59" t="s">
        <v>76</v>
      </c>
      <c r="O59" t="s">
        <v>79</v>
      </c>
    </row>
    <row r="60" spans="1:15" x14ac:dyDescent="0.25">
      <c r="A60">
        <v>17908</v>
      </c>
      <c r="B60" t="s">
        <v>17</v>
      </c>
      <c r="C60" t="s">
        <v>25</v>
      </c>
      <c r="D60" t="str">
        <f>IFERROR(INDEX(Sheet2!$B$2:$B$1132,MATCH(Sheet1!C60,Sheet1!$C$2:$C$1132,0)),"IDK")</f>
        <v>SOCIAL</v>
      </c>
      <c r="E60" t="s">
        <v>48</v>
      </c>
      <c r="F60" t="s">
        <v>53</v>
      </c>
      <c r="G60" s="1">
        <v>45462</v>
      </c>
      <c r="H60" t="s">
        <v>56</v>
      </c>
      <c r="I60" s="3" t="s">
        <v>106</v>
      </c>
      <c r="J60" s="2" t="s">
        <v>107</v>
      </c>
      <c r="K60">
        <f>IFERROR(INDEX(Sheet2!$C$2:$C$1132,MATCH(Sheet1!C60,Sheet1!$C$2:$C$1132,0)),"")</f>
        <v>30000</v>
      </c>
      <c r="L60">
        <f>IFERROR(INDEX(Sheet2!$D$2:$D$1132,MATCH(Sheet1!C60,$C$2:$C$1132,0)),"")</f>
        <v>60000</v>
      </c>
      <c r="M60" t="str">
        <f>IFERROR(INDEX($M$2:$M$1132,MATCH(B60,$B$2:$B$1132,0)),"")</f>
        <v>EXCEL, SQL, TABLEAU, BUSINESS ANALYSIS</v>
      </c>
      <c r="N60" t="s">
        <v>76</v>
      </c>
      <c r="O60" t="s">
        <v>37</v>
      </c>
    </row>
    <row r="61" spans="1:15" x14ac:dyDescent="0.25">
      <c r="A61">
        <v>17909</v>
      </c>
      <c r="B61" t="s">
        <v>17</v>
      </c>
      <c r="C61" t="s">
        <v>26</v>
      </c>
      <c r="D61" t="str">
        <f>IFERROR(INDEX(Sheet2!$B$2:$B$1132,MATCH(Sheet1!C61,Sheet1!$C$2:$C$1132,0)),"IDK")</f>
        <v>FINANCE</v>
      </c>
      <c r="E61" t="s">
        <v>48</v>
      </c>
      <c r="F61" t="s">
        <v>53</v>
      </c>
      <c r="G61" s="1">
        <v>45586</v>
      </c>
      <c r="H61" t="s">
        <v>56</v>
      </c>
      <c r="I61" s="3" t="s">
        <v>106</v>
      </c>
      <c r="J61" s="2" t="s">
        <v>108</v>
      </c>
      <c r="K61">
        <f>IFERROR(INDEX(Sheet2!$C$2:$C$1132,MATCH(Sheet1!C61,Sheet1!$C$2:$C$1132,0)),"")</f>
        <v>35000</v>
      </c>
      <c r="L61">
        <f>IFERROR(INDEX(Sheet2!$D$2:$D$1132,MATCH(Sheet1!C61,$C$2:$C$1132,0)),"")</f>
        <v>75000</v>
      </c>
      <c r="M61" t="str">
        <f>IFERROR(INDEX($M$2:$M$1132,MATCH(B61,$B$2:$B$1132,0)),"")</f>
        <v>EXCEL, SQL, TABLEAU, BUSINESS ANALYSIS</v>
      </c>
      <c r="N61" t="s">
        <v>74</v>
      </c>
      <c r="O61" t="s">
        <v>78</v>
      </c>
    </row>
    <row r="62" spans="1:15" x14ac:dyDescent="0.25">
      <c r="A62">
        <v>17910</v>
      </c>
      <c r="B62" t="s">
        <v>17</v>
      </c>
      <c r="C62" t="s">
        <v>37</v>
      </c>
      <c r="D62" t="s">
        <v>43</v>
      </c>
      <c r="E62" t="s">
        <v>48</v>
      </c>
      <c r="F62" t="s">
        <v>53</v>
      </c>
      <c r="G62" s="1">
        <v>45605</v>
      </c>
      <c r="H62" t="s">
        <v>56</v>
      </c>
      <c r="I62" s="2" t="s">
        <v>109</v>
      </c>
      <c r="J62" s="2" t="s">
        <v>110</v>
      </c>
      <c r="K62">
        <v>25000</v>
      </c>
      <c r="L62">
        <v>90000</v>
      </c>
      <c r="M62" t="str">
        <f>IFERROR(INDEX($M$2:$M$1132,MATCH(B62,$B$2:$B$1132,0)),"")</f>
        <v>EXCEL, SQL, TABLEAU, BUSINESS ANALYSIS</v>
      </c>
      <c r="N62" t="s">
        <v>75</v>
      </c>
      <c r="O62" t="s">
        <v>79</v>
      </c>
    </row>
    <row r="63" spans="1:15" x14ac:dyDescent="0.25">
      <c r="A63">
        <v>17911</v>
      </c>
      <c r="B63" t="s">
        <v>17</v>
      </c>
      <c r="C63" t="s">
        <v>38</v>
      </c>
      <c r="D63" t="s">
        <v>42</v>
      </c>
      <c r="E63" t="s">
        <v>48</v>
      </c>
      <c r="F63" t="s">
        <v>53</v>
      </c>
      <c r="G63" s="1">
        <v>45599</v>
      </c>
      <c r="H63" t="s">
        <v>56</v>
      </c>
      <c r="I63" s="2" t="s">
        <v>109</v>
      </c>
      <c r="J63" s="2" t="s">
        <v>111</v>
      </c>
      <c r="K63">
        <v>25000</v>
      </c>
      <c r="L63">
        <v>85000</v>
      </c>
      <c r="M63" t="str">
        <f>IFERROR(INDEX($M$2:$M$1132,MATCH(B63,$B$2:$B$1132,0)),"")</f>
        <v>EXCEL, SQL, TABLEAU, BUSINESS ANALYSIS</v>
      </c>
      <c r="N63" t="s">
        <v>76</v>
      </c>
      <c r="O63" t="s">
        <v>80</v>
      </c>
    </row>
    <row r="64" spans="1:15" x14ac:dyDescent="0.25">
      <c r="A64">
        <v>17912</v>
      </c>
      <c r="B64" t="s">
        <v>17</v>
      </c>
      <c r="C64" t="s">
        <v>39</v>
      </c>
      <c r="D64" t="s">
        <v>42</v>
      </c>
      <c r="E64" t="s">
        <v>48</v>
      </c>
      <c r="F64" t="s">
        <v>53</v>
      </c>
      <c r="G64" s="1">
        <v>45540</v>
      </c>
      <c r="H64" t="s">
        <v>56</v>
      </c>
      <c r="I64" s="2" t="s">
        <v>112</v>
      </c>
      <c r="J64" s="2" t="s">
        <v>113</v>
      </c>
      <c r="K64">
        <v>25000</v>
      </c>
      <c r="L64">
        <v>95000</v>
      </c>
      <c r="M64" t="str">
        <f>IFERROR(INDEX($M$2:$M$1132,MATCH(B64,$B$2:$B$1132,0)),"")</f>
        <v>EXCEL, SQL, TABLEAU, BUSINESS ANALYSIS</v>
      </c>
      <c r="N64" t="s">
        <v>75</v>
      </c>
      <c r="O64" t="s">
        <v>77</v>
      </c>
    </row>
    <row r="65" spans="1:15" x14ac:dyDescent="0.25">
      <c r="A65">
        <v>17913</v>
      </c>
      <c r="B65" t="s">
        <v>17</v>
      </c>
      <c r="C65" t="s">
        <v>39</v>
      </c>
      <c r="D65" t="s">
        <v>42</v>
      </c>
      <c r="E65" t="s">
        <v>48</v>
      </c>
      <c r="F65" t="s">
        <v>53</v>
      </c>
      <c r="G65" s="1">
        <v>45452</v>
      </c>
      <c r="H65" t="s">
        <v>57</v>
      </c>
      <c r="I65" s="3" t="s">
        <v>149</v>
      </c>
      <c r="J65" s="2" t="s">
        <v>150</v>
      </c>
      <c r="K65">
        <v>25000</v>
      </c>
      <c r="L65">
        <v>95000</v>
      </c>
      <c r="M65" t="str">
        <f>IFERROR(INDEX($M$2:$M$1132,MATCH(B65,$B$2:$B$1132,0)),"")</f>
        <v>EXCEL, SQL, TABLEAU, BUSINESS ANALYSIS</v>
      </c>
      <c r="N65" t="s">
        <v>76</v>
      </c>
      <c r="O65" t="s">
        <v>79</v>
      </c>
    </row>
    <row r="66" spans="1:15" x14ac:dyDescent="0.25">
      <c r="A66">
        <v>17914</v>
      </c>
      <c r="B66" t="s">
        <v>17</v>
      </c>
      <c r="C66" t="s">
        <v>39</v>
      </c>
      <c r="D66" t="s">
        <v>42</v>
      </c>
      <c r="E66" t="s">
        <v>48</v>
      </c>
      <c r="F66" t="s">
        <v>53</v>
      </c>
      <c r="G66" s="1">
        <v>45512</v>
      </c>
      <c r="H66" t="s">
        <v>57</v>
      </c>
      <c r="I66" s="2" t="s">
        <v>151</v>
      </c>
      <c r="J66" s="2" t="s">
        <v>152</v>
      </c>
      <c r="K66">
        <v>25000</v>
      </c>
      <c r="L66">
        <v>95000</v>
      </c>
      <c r="M66" t="str">
        <f>IFERROR(INDEX($M$2:$M$1132,MATCH(B66,$B$2:$B$1132,0)),"")</f>
        <v>EXCEL, SQL, TABLEAU, BUSINESS ANALYSIS</v>
      </c>
      <c r="N66" t="s">
        <v>74</v>
      </c>
      <c r="O66" t="s">
        <v>37</v>
      </c>
    </row>
    <row r="67" spans="1:15" x14ac:dyDescent="0.25">
      <c r="A67">
        <v>17915</v>
      </c>
      <c r="B67" t="s">
        <v>14</v>
      </c>
      <c r="C67" t="s">
        <v>39</v>
      </c>
      <c r="D67" t="s">
        <v>42</v>
      </c>
      <c r="E67" t="s">
        <v>48</v>
      </c>
      <c r="F67" t="s">
        <v>53</v>
      </c>
      <c r="G67" s="1">
        <v>45640</v>
      </c>
      <c r="H67" t="s">
        <v>57</v>
      </c>
      <c r="I67" s="2" t="s">
        <v>153</v>
      </c>
      <c r="J67" s="2" t="s">
        <v>154</v>
      </c>
      <c r="K67">
        <v>25000</v>
      </c>
      <c r="L67">
        <v>95000</v>
      </c>
      <c r="M67" t="str">
        <f>IFERROR(INDEX($M$2:$M$1132,MATCH(B67,$B$2:$B$1132,0)),"")</f>
        <v>SQL, EXCEL, POWERBI, TABLEAU</v>
      </c>
      <c r="N67" t="s">
        <v>76</v>
      </c>
      <c r="O67" t="s">
        <v>78</v>
      </c>
    </row>
    <row r="68" spans="1:15" x14ac:dyDescent="0.25">
      <c r="A68">
        <v>17916</v>
      </c>
      <c r="B68" t="s">
        <v>15</v>
      </c>
      <c r="C68" t="s">
        <v>39</v>
      </c>
      <c r="D68" t="s">
        <v>42</v>
      </c>
      <c r="E68" t="s">
        <v>48</v>
      </c>
      <c r="F68" t="s">
        <v>53</v>
      </c>
      <c r="G68" s="1">
        <v>45617</v>
      </c>
      <c r="H68" t="s">
        <v>57</v>
      </c>
      <c r="I68" s="3" t="s">
        <v>155</v>
      </c>
      <c r="J68" s="2" t="s">
        <v>156</v>
      </c>
      <c r="K68">
        <v>25000</v>
      </c>
      <c r="L68">
        <v>95000</v>
      </c>
      <c r="M68" t="str">
        <f>IFERROR(INDEX($M$2:$M$1132,MATCH(B68,$B$2:$B$1132,0)),"")</f>
        <v>SQL, PYTHON, AWS, SPARK, ETL</v>
      </c>
      <c r="N68" t="s">
        <v>76</v>
      </c>
      <c r="O68" t="s">
        <v>80</v>
      </c>
    </row>
    <row r="69" spans="1:15" x14ac:dyDescent="0.25">
      <c r="A69">
        <v>17917</v>
      </c>
      <c r="B69" t="s">
        <v>16</v>
      </c>
      <c r="C69" t="s">
        <v>39</v>
      </c>
      <c r="D69" t="s">
        <v>42</v>
      </c>
      <c r="E69" t="s">
        <v>48</v>
      </c>
      <c r="F69" t="s">
        <v>53</v>
      </c>
      <c r="G69" s="1">
        <v>45395</v>
      </c>
      <c r="H69" t="s">
        <v>57</v>
      </c>
      <c r="I69" s="3" t="s">
        <v>157</v>
      </c>
      <c r="J69" s="2" t="s">
        <v>158</v>
      </c>
      <c r="K69">
        <v>25000</v>
      </c>
      <c r="L69">
        <v>95000</v>
      </c>
      <c r="M69" t="str">
        <f>IFERROR(INDEX($M$2:$M$1132,MATCH(B69,$B$2:$B$1132,0)),"")</f>
        <v>PYTHON, MACHINE LEARNING,PANDAS, NUMPY</v>
      </c>
      <c r="N69" t="s">
        <v>76</v>
      </c>
      <c r="O69" t="s">
        <v>79</v>
      </c>
    </row>
    <row r="70" spans="1:15" x14ac:dyDescent="0.25">
      <c r="A70">
        <v>17918</v>
      </c>
      <c r="B70" t="s">
        <v>17</v>
      </c>
      <c r="C70" t="s">
        <v>39</v>
      </c>
      <c r="D70" t="s">
        <v>42</v>
      </c>
      <c r="E70" t="s">
        <v>48</v>
      </c>
      <c r="F70" t="s">
        <v>53</v>
      </c>
      <c r="G70" s="1">
        <v>45409</v>
      </c>
      <c r="H70" t="s">
        <v>57</v>
      </c>
      <c r="I70" s="3" t="s">
        <v>159</v>
      </c>
      <c r="J70" s="2" t="s">
        <v>160</v>
      </c>
      <c r="K70">
        <v>25000</v>
      </c>
      <c r="L70">
        <v>95000</v>
      </c>
      <c r="M70" t="str">
        <f>IFERROR(INDEX($M$2:$M$1132,MATCH(B70,$B$2:$B$1132,0)),"")</f>
        <v>EXCEL, SQL, TABLEAU, BUSINESS ANALYSIS</v>
      </c>
      <c r="N70" t="s">
        <v>76</v>
      </c>
      <c r="O70" t="s">
        <v>37</v>
      </c>
    </row>
    <row r="71" spans="1:15" x14ac:dyDescent="0.25">
      <c r="A71">
        <v>17919</v>
      </c>
      <c r="B71" t="s">
        <v>18</v>
      </c>
      <c r="C71" t="s">
        <v>39</v>
      </c>
      <c r="D71" t="s">
        <v>42</v>
      </c>
      <c r="E71" t="s">
        <v>48</v>
      </c>
      <c r="F71" t="s">
        <v>53</v>
      </c>
      <c r="G71" s="1">
        <v>45481</v>
      </c>
      <c r="H71" t="s">
        <v>57</v>
      </c>
      <c r="I71" s="3" t="s">
        <v>149</v>
      </c>
      <c r="J71" s="2" t="s">
        <v>150</v>
      </c>
      <c r="K71">
        <v>25000</v>
      </c>
      <c r="L71">
        <v>95000</v>
      </c>
      <c r="M71" t="str">
        <f>IFERROR(INDEX($M$2:$M$1132,MATCH(B71,$B$2:$B$1132,0)),"")</f>
        <v>EXCEL, SQL, FINANCIAL MODELLING, BUDGETING</v>
      </c>
      <c r="N71" t="s">
        <v>76</v>
      </c>
      <c r="O71" t="s">
        <v>78</v>
      </c>
    </row>
    <row r="72" spans="1:15" x14ac:dyDescent="0.25">
      <c r="A72">
        <v>17920</v>
      </c>
      <c r="B72" t="s">
        <v>19</v>
      </c>
      <c r="C72" t="s">
        <v>39</v>
      </c>
      <c r="D72" t="s">
        <v>42</v>
      </c>
      <c r="E72" t="s">
        <v>48</v>
      </c>
      <c r="F72" t="s">
        <v>53</v>
      </c>
      <c r="G72" s="1">
        <v>45426</v>
      </c>
      <c r="H72" t="s">
        <v>57</v>
      </c>
      <c r="I72" s="2" t="s">
        <v>151</v>
      </c>
      <c r="J72" s="2" t="s">
        <v>152</v>
      </c>
      <c r="K72">
        <v>25000</v>
      </c>
      <c r="L72">
        <v>95000</v>
      </c>
      <c r="M72" t="str">
        <f>IFERROR(INDEX($M$2:$M$1132,MATCH(B72,$B$2:$B$1132,0)),"")</f>
        <v>NETWORK SECURITY, ETHICAL HACKING, RISK ASSESSMENT</v>
      </c>
      <c r="N72" t="s">
        <v>74</v>
      </c>
      <c r="O72" t="s">
        <v>79</v>
      </c>
    </row>
    <row r="73" spans="1:15" x14ac:dyDescent="0.25">
      <c r="A73">
        <v>17921</v>
      </c>
      <c r="B73" t="s">
        <v>20</v>
      </c>
      <c r="C73" t="s">
        <v>39</v>
      </c>
      <c r="D73" t="s">
        <v>42</v>
      </c>
      <c r="E73" t="s">
        <v>48</v>
      </c>
      <c r="F73" t="s">
        <v>53</v>
      </c>
      <c r="G73" s="1">
        <v>45416</v>
      </c>
      <c r="H73" t="s">
        <v>57</v>
      </c>
      <c r="I73" s="2" t="s">
        <v>153</v>
      </c>
      <c r="J73" s="2" t="s">
        <v>154</v>
      </c>
      <c r="K73">
        <v>25000</v>
      </c>
      <c r="L73">
        <v>95000</v>
      </c>
      <c r="M73" t="str">
        <f>IFERROR(INDEX($M$2:$M$1132,MATCH(B73,$B$2:$B$1132,0)),"")</f>
        <v>CLOUD, NETWORK, MACHINE LEARNING</v>
      </c>
      <c r="N73" t="s">
        <v>74</v>
      </c>
      <c r="O73" t="s">
        <v>80</v>
      </c>
    </row>
    <row r="74" spans="1:15" x14ac:dyDescent="0.25">
      <c r="A74">
        <v>17922</v>
      </c>
      <c r="B74" t="s">
        <v>21</v>
      </c>
      <c r="C74" t="s">
        <v>39</v>
      </c>
      <c r="D74" t="s">
        <v>42</v>
      </c>
      <c r="E74" t="s">
        <v>48</v>
      </c>
      <c r="F74" t="s">
        <v>53</v>
      </c>
      <c r="G74" s="1">
        <v>45518</v>
      </c>
      <c r="H74" t="s">
        <v>57</v>
      </c>
      <c r="I74" s="3" t="s">
        <v>155</v>
      </c>
      <c r="J74" s="2" t="s">
        <v>156</v>
      </c>
      <c r="K74">
        <v>25000</v>
      </c>
      <c r="L74">
        <v>95000</v>
      </c>
      <c r="M74" t="str">
        <f>IFERROR(INDEX($M$2:$M$1132,MATCH(B74,$B$2:$B$1132,0)),"")</f>
        <v>RISK ANALYSIS, DATA ANALYSIS, EXCEL, STATISTICS</v>
      </c>
      <c r="N74" t="s">
        <v>74</v>
      </c>
      <c r="O74" t="s">
        <v>77</v>
      </c>
    </row>
    <row r="75" spans="1:15" x14ac:dyDescent="0.25">
      <c r="A75">
        <v>17923</v>
      </c>
      <c r="B75" t="s">
        <v>22</v>
      </c>
      <c r="C75" t="s">
        <v>39</v>
      </c>
      <c r="D75" t="s">
        <v>42</v>
      </c>
      <c r="E75" t="s">
        <v>48</v>
      </c>
      <c r="F75" t="s">
        <v>53</v>
      </c>
      <c r="G75" s="1">
        <v>45307</v>
      </c>
      <c r="H75" t="s">
        <v>57</v>
      </c>
      <c r="I75" s="3" t="s">
        <v>157</v>
      </c>
      <c r="J75" s="2" t="s">
        <v>158</v>
      </c>
      <c r="K75">
        <v>25000</v>
      </c>
      <c r="L75">
        <v>95000</v>
      </c>
      <c r="M75" t="str">
        <f>IFERROR(INDEX($M$2:$M$1132,MATCH(B75,$B$2:$B$1132,0)),"")</f>
        <v>GOOGLE ANALYTICS, SEO, SOCIAL MEDIA ANALYTICS, EXCEL</v>
      </c>
      <c r="N75" t="s">
        <v>74</v>
      </c>
      <c r="O75" t="s">
        <v>79</v>
      </c>
    </row>
    <row r="76" spans="1:15" x14ac:dyDescent="0.25">
      <c r="A76">
        <v>17924</v>
      </c>
      <c r="B76" t="s">
        <v>14</v>
      </c>
      <c r="C76" t="s">
        <v>39</v>
      </c>
      <c r="D76" t="s">
        <v>42</v>
      </c>
      <c r="E76" t="s">
        <v>48</v>
      </c>
      <c r="F76" t="s">
        <v>53</v>
      </c>
      <c r="G76" s="1">
        <v>45532</v>
      </c>
      <c r="H76" t="s">
        <v>57</v>
      </c>
      <c r="I76" s="3" t="s">
        <v>159</v>
      </c>
      <c r="J76" s="2" t="s">
        <v>160</v>
      </c>
      <c r="K76">
        <v>25000</v>
      </c>
      <c r="L76">
        <v>95000</v>
      </c>
      <c r="M76" t="str">
        <f>IFERROR(INDEX($M$2:$M$1132,MATCH(B76,$B$2:$B$1132,0)),"")</f>
        <v>SQL, EXCEL, POWERBI, TABLEAU</v>
      </c>
      <c r="N76" t="s">
        <v>74</v>
      </c>
      <c r="O76" t="s">
        <v>37</v>
      </c>
    </row>
    <row r="77" spans="1:15" x14ac:dyDescent="0.25">
      <c r="A77">
        <v>17925</v>
      </c>
      <c r="B77" t="s">
        <v>15</v>
      </c>
      <c r="C77" t="s">
        <v>39</v>
      </c>
      <c r="D77" t="s">
        <v>42</v>
      </c>
      <c r="E77" t="s">
        <v>48</v>
      </c>
      <c r="F77" t="s">
        <v>53</v>
      </c>
      <c r="G77" s="1">
        <v>45511</v>
      </c>
      <c r="H77" t="s">
        <v>57</v>
      </c>
      <c r="I77" s="3" t="s">
        <v>149</v>
      </c>
      <c r="J77" s="2" t="s">
        <v>150</v>
      </c>
      <c r="K77">
        <v>25000</v>
      </c>
      <c r="L77">
        <v>95000</v>
      </c>
      <c r="M77" t="str">
        <f>IFERROR(INDEX($M$2:$M$1132,MATCH(B77,$B$2:$B$1132,0)),"")</f>
        <v>SQL, PYTHON, AWS, SPARK, ETL</v>
      </c>
      <c r="N77" t="s">
        <v>74</v>
      </c>
      <c r="O77" t="s">
        <v>78</v>
      </c>
    </row>
    <row r="78" spans="1:15" x14ac:dyDescent="0.25">
      <c r="A78">
        <v>17926</v>
      </c>
      <c r="B78" t="s">
        <v>16</v>
      </c>
      <c r="C78" t="s">
        <v>39</v>
      </c>
      <c r="D78" t="s">
        <v>42</v>
      </c>
      <c r="E78" t="s">
        <v>48</v>
      </c>
      <c r="F78" t="s">
        <v>53</v>
      </c>
      <c r="G78" s="1">
        <v>45596</v>
      </c>
      <c r="H78" t="s">
        <v>57</v>
      </c>
      <c r="I78" s="2" t="s">
        <v>151</v>
      </c>
      <c r="J78" s="2" t="s">
        <v>152</v>
      </c>
      <c r="K78">
        <v>25000</v>
      </c>
      <c r="L78">
        <v>95000</v>
      </c>
      <c r="M78" t="str">
        <f>IFERROR(INDEX($M$2:$M$1132,MATCH(B78,$B$2:$B$1132,0)),"")</f>
        <v>PYTHON, MACHINE LEARNING,PANDAS, NUMPY</v>
      </c>
      <c r="N78" t="s">
        <v>74</v>
      </c>
      <c r="O78" t="s">
        <v>80</v>
      </c>
    </row>
    <row r="79" spans="1:15" x14ac:dyDescent="0.25">
      <c r="A79">
        <v>17927</v>
      </c>
      <c r="B79" t="s">
        <v>17</v>
      </c>
      <c r="C79" t="s">
        <v>39</v>
      </c>
      <c r="D79" t="s">
        <v>42</v>
      </c>
      <c r="E79" t="s">
        <v>48</v>
      </c>
      <c r="F79" t="s">
        <v>53</v>
      </c>
      <c r="G79" s="1">
        <v>45413</v>
      </c>
      <c r="H79" t="s">
        <v>57</v>
      </c>
      <c r="I79" s="2" t="s">
        <v>153</v>
      </c>
      <c r="J79" s="2" t="s">
        <v>154</v>
      </c>
      <c r="K79">
        <v>25000</v>
      </c>
      <c r="L79">
        <v>95000</v>
      </c>
      <c r="M79" t="str">
        <f>IFERROR(INDEX($M$2:$M$1132,MATCH(B79,$B$2:$B$1132,0)),"")</f>
        <v>EXCEL, SQL, TABLEAU, BUSINESS ANALYSIS</v>
      </c>
      <c r="N79" t="s">
        <v>74</v>
      </c>
      <c r="O79" t="s">
        <v>79</v>
      </c>
    </row>
    <row r="80" spans="1:15" x14ac:dyDescent="0.25">
      <c r="A80">
        <v>17928</v>
      </c>
      <c r="B80" t="s">
        <v>18</v>
      </c>
      <c r="C80" t="s">
        <v>39</v>
      </c>
      <c r="D80" t="s">
        <v>42</v>
      </c>
      <c r="E80" t="s">
        <v>48</v>
      </c>
      <c r="F80" t="s">
        <v>53</v>
      </c>
      <c r="G80" s="1">
        <v>45624</v>
      </c>
      <c r="H80" t="s">
        <v>57</v>
      </c>
      <c r="I80" s="3" t="s">
        <v>155</v>
      </c>
      <c r="J80" s="2" t="s">
        <v>156</v>
      </c>
      <c r="K80">
        <v>25000</v>
      </c>
      <c r="L80">
        <v>95000</v>
      </c>
      <c r="M80" t="str">
        <f>IFERROR(INDEX($M$2:$M$1132,MATCH(B80,$B$2:$B$1132,0)),"")</f>
        <v>EXCEL, SQL, FINANCIAL MODELLING, BUDGETING</v>
      </c>
      <c r="N80" t="s">
        <v>74</v>
      </c>
      <c r="O80" t="s">
        <v>37</v>
      </c>
    </row>
    <row r="81" spans="1:15" x14ac:dyDescent="0.25">
      <c r="A81">
        <v>17929</v>
      </c>
      <c r="B81" t="s">
        <v>19</v>
      </c>
      <c r="C81" t="s">
        <v>39</v>
      </c>
      <c r="D81" t="s">
        <v>42</v>
      </c>
      <c r="E81" t="s">
        <v>48</v>
      </c>
      <c r="F81" t="s">
        <v>53</v>
      </c>
      <c r="G81" s="1">
        <v>45512</v>
      </c>
      <c r="H81" t="s">
        <v>57</v>
      </c>
      <c r="I81" s="3" t="s">
        <v>159</v>
      </c>
      <c r="J81" s="2" t="s">
        <v>160</v>
      </c>
      <c r="K81">
        <v>25000</v>
      </c>
      <c r="L81">
        <v>95000</v>
      </c>
      <c r="M81" t="str">
        <f>IFERROR(INDEX($M$2:$M$1132,MATCH(B81,$B$2:$B$1132,0)),"")</f>
        <v>NETWORK SECURITY, ETHICAL HACKING, RISK ASSESSMENT</v>
      </c>
      <c r="N81" t="s">
        <v>74</v>
      </c>
      <c r="O81" t="s">
        <v>78</v>
      </c>
    </row>
    <row r="82" spans="1:15" x14ac:dyDescent="0.25">
      <c r="A82">
        <v>17930</v>
      </c>
      <c r="B82" t="s">
        <v>20</v>
      </c>
      <c r="C82" t="s">
        <v>39</v>
      </c>
      <c r="D82" t="s">
        <v>42</v>
      </c>
      <c r="E82" t="s">
        <v>48</v>
      </c>
      <c r="F82" t="s">
        <v>53</v>
      </c>
      <c r="G82" s="1">
        <v>45625</v>
      </c>
      <c r="H82" t="s">
        <v>57</v>
      </c>
      <c r="I82" s="3" t="s">
        <v>149</v>
      </c>
      <c r="J82" s="2" t="s">
        <v>150</v>
      </c>
      <c r="K82">
        <v>25000</v>
      </c>
      <c r="L82">
        <v>95000</v>
      </c>
      <c r="M82" t="str">
        <f>IFERROR(INDEX($M$2:$M$1132,MATCH(B82,$B$2:$B$1132,0)),"")</f>
        <v>CLOUD, NETWORK, MACHINE LEARNING</v>
      </c>
      <c r="N82" t="s">
        <v>74</v>
      </c>
      <c r="O82" t="s">
        <v>79</v>
      </c>
    </row>
    <row r="83" spans="1:15" x14ac:dyDescent="0.25">
      <c r="A83">
        <v>17931</v>
      </c>
      <c r="B83" t="s">
        <v>21</v>
      </c>
      <c r="C83" t="s">
        <v>39</v>
      </c>
      <c r="D83" t="s">
        <v>42</v>
      </c>
      <c r="E83" t="s">
        <v>48</v>
      </c>
      <c r="F83" t="s">
        <v>53</v>
      </c>
      <c r="G83" s="1">
        <v>45378</v>
      </c>
      <c r="H83" t="s">
        <v>57</v>
      </c>
      <c r="I83" s="2" t="s">
        <v>151</v>
      </c>
      <c r="J83" s="2" t="s">
        <v>152</v>
      </c>
      <c r="K83">
        <v>25000</v>
      </c>
      <c r="L83">
        <v>95000</v>
      </c>
      <c r="M83" t="str">
        <f>IFERROR(INDEX($M$2:$M$1132,MATCH(B83,$B$2:$B$1132,0)),"")</f>
        <v>RISK ANALYSIS, DATA ANALYSIS, EXCEL, STATISTICS</v>
      </c>
      <c r="N83" t="s">
        <v>74</v>
      </c>
      <c r="O83" t="s">
        <v>80</v>
      </c>
    </row>
    <row r="84" spans="1:15" x14ac:dyDescent="0.25">
      <c r="A84">
        <v>17932</v>
      </c>
      <c r="B84" t="s">
        <v>22</v>
      </c>
      <c r="C84" t="s">
        <v>39</v>
      </c>
      <c r="D84" t="s">
        <v>42</v>
      </c>
      <c r="E84" t="s">
        <v>48</v>
      </c>
      <c r="F84" t="s">
        <v>53</v>
      </c>
      <c r="G84" s="1">
        <v>45341</v>
      </c>
      <c r="H84" t="s">
        <v>57</v>
      </c>
      <c r="I84" s="2" t="s">
        <v>153</v>
      </c>
      <c r="J84" s="2" t="s">
        <v>154</v>
      </c>
      <c r="K84">
        <v>25000</v>
      </c>
      <c r="L84">
        <v>95000</v>
      </c>
      <c r="M84" t="str">
        <f>IFERROR(INDEX($M$2:$M$1132,MATCH(B84,$B$2:$B$1132,0)),"")</f>
        <v>GOOGLE ANALYTICS, SEO, SOCIAL MEDIA ANALYTICS, EXCEL</v>
      </c>
      <c r="N84" t="s">
        <v>74</v>
      </c>
      <c r="O84" t="s">
        <v>77</v>
      </c>
    </row>
    <row r="85" spans="1:15" x14ac:dyDescent="0.25">
      <c r="A85">
        <v>17933</v>
      </c>
      <c r="B85" t="s">
        <v>14</v>
      </c>
      <c r="C85" t="s">
        <v>39</v>
      </c>
      <c r="D85" t="s">
        <v>42</v>
      </c>
      <c r="E85" t="s">
        <v>48</v>
      </c>
      <c r="F85" t="s">
        <v>53</v>
      </c>
      <c r="G85" s="1">
        <v>45473</v>
      </c>
      <c r="H85" t="s">
        <v>57</v>
      </c>
      <c r="I85" s="3" t="s">
        <v>155</v>
      </c>
      <c r="J85" s="2" t="s">
        <v>156</v>
      </c>
      <c r="K85">
        <v>25000</v>
      </c>
      <c r="L85">
        <v>95000</v>
      </c>
      <c r="M85" t="str">
        <f>IFERROR(INDEX($M$2:$M$1132,MATCH(B85,$B$2:$B$1132,0)),"")</f>
        <v>SQL, EXCEL, POWERBI, TABLEAU</v>
      </c>
      <c r="N85" t="s">
        <v>74</v>
      </c>
      <c r="O85" t="s">
        <v>79</v>
      </c>
    </row>
    <row r="86" spans="1:15" x14ac:dyDescent="0.25">
      <c r="A86">
        <v>17934</v>
      </c>
      <c r="B86" t="s">
        <v>15</v>
      </c>
      <c r="C86" t="s">
        <v>39</v>
      </c>
      <c r="D86" t="s">
        <v>42</v>
      </c>
      <c r="E86" t="s">
        <v>48</v>
      </c>
      <c r="F86" t="s">
        <v>53</v>
      </c>
      <c r="G86" s="1">
        <v>45373</v>
      </c>
      <c r="H86" t="s">
        <v>57</v>
      </c>
      <c r="I86" s="3" t="s">
        <v>157</v>
      </c>
      <c r="J86" s="2" t="s">
        <v>158</v>
      </c>
      <c r="K86">
        <v>25000</v>
      </c>
      <c r="L86">
        <v>95000</v>
      </c>
      <c r="M86" t="str">
        <f>IFERROR(INDEX($M$2:$M$1132,MATCH(B86,$B$2:$B$1132,0)),"")</f>
        <v>SQL, PYTHON, AWS, SPARK, ETL</v>
      </c>
      <c r="N86" t="s">
        <v>74</v>
      </c>
      <c r="O86" t="s">
        <v>37</v>
      </c>
    </row>
    <row r="87" spans="1:15" x14ac:dyDescent="0.25">
      <c r="A87">
        <v>17935</v>
      </c>
      <c r="B87" t="s">
        <v>16</v>
      </c>
      <c r="C87" t="s">
        <v>39</v>
      </c>
      <c r="D87" t="s">
        <v>42</v>
      </c>
      <c r="E87" t="s">
        <v>48</v>
      </c>
      <c r="F87" t="s">
        <v>53</v>
      </c>
      <c r="G87" s="1">
        <v>45411</v>
      </c>
      <c r="H87" t="s">
        <v>57</v>
      </c>
      <c r="I87" s="3" t="s">
        <v>159</v>
      </c>
      <c r="J87" s="2" t="s">
        <v>160</v>
      </c>
      <c r="K87">
        <v>25000</v>
      </c>
      <c r="L87">
        <v>95000</v>
      </c>
      <c r="M87" t="str">
        <f>IFERROR(INDEX($M$2:$M$1132,MATCH(B87,$B$2:$B$1132,0)),"")</f>
        <v>PYTHON, MACHINE LEARNING,PANDAS, NUMPY</v>
      </c>
      <c r="N87" t="s">
        <v>74</v>
      </c>
      <c r="O87" t="s">
        <v>78</v>
      </c>
    </row>
    <row r="88" spans="1:15" x14ac:dyDescent="0.25">
      <c r="A88">
        <v>17936</v>
      </c>
      <c r="B88" t="s">
        <v>17</v>
      </c>
      <c r="C88" t="s">
        <v>39</v>
      </c>
      <c r="D88" t="s">
        <v>42</v>
      </c>
      <c r="E88" t="s">
        <v>48</v>
      </c>
      <c r="F88" t="s">
        <v>53</v>
      </c>
      <c r="G88" s="1">
        <v>45383</v>
      </c>
      <c r="H88" t="s">
        <v>57</v>
      </c>
      <c r="I88" s="3" t="s">
        <v>149</v>
      </c>
      <c r="J88" s="2" t="s">
        <v>150</v>
      </c>
      <c r="K88">
        <v>25000</v>
      </c>
      <c r="L88">
        <v>95000</v>
      </c>
      <c r="M88" t="str">
        <f>IFERROR(INDEX($M$2:$M$1132,MATCH(B88,$B$2:$B$1132,0)),"")</f>
        <v>EXCEL, SQL, TABLEAU, BUSINESS ANALYSIS</v>
      </c>
      <c r="N88" t="s">
        <v>74</v>
      </c>
      <c r="O88" t="s">
        <v>80</v>
      </c>
    </row>
    <row r="89" spans="1:15" x14ac:dyDescent="0.25">
      <c r="A89">
        <v>17937</v>
      </c>
      <c r="B89" t="s">
        <v>18</v>
      </c>
      <c r="C89" t="s">
        <v>39</v>
      </c>
      <c r="D89" t="s">
        <v>42</v>
      </c>
      <c r="E89" t="s">
        <v>48</v>
      </c>
      <c r="F89" t="s">
        <v>53</v>
      </c>
      <c r="G89" s="1">
        <v>45447</v>
      </c>
      <c r="H89" t="s">
        <v>57</v>
      </c>
      <c r="I89" s="2" t="s">
        <v>151</v>
      </c>
      <c r="J89" s="2" t="s">
        <v>152</v>
      </c>
      <c r="K89">
        <v>25000</v>
      </c>
      <c r="L89">
        <v>95000</v>
      </c>
      <c r="M89" t="str">
        <f>IFERROR(INDEX($M$2:$M$1132,MATCH(B89,$B$2:$B$1132,0)),"")</f>
        <v>EXCEL, SQL, FINANCIAL MODELLING, BUDGETING</v>
      </c>
      <c r="N89" t="s">
        <v>74</v>
      </c>
      <c r="O89" t="s">
        <v>79</v>
      </c>
    </row>
    <row r="90" spans="1:15" x14ac:dyDescent="0.25">
      <c r="A90">
        <v>17938</v>
      </c>
      <c r="B90" t="s">
        <v>19</v>
      </c>
      <c r="C90" t="s">
        <v>39</v>
      </c>
      <c r="D90" t="s">
        <v>42</v>
      </c>
      <c r="E90" t="s">
        <v>48</v>
      </c>
      <c r="F90" t="s">
        <v>53</v>
      </c>
      <c r="G90" s="1">
        <v>45313</v>
      </c>
      <c r="H90" t="s">
        <v>57</v>
      </c>
      <c r="I90" s="2" t="s">
        <v>153</v>
      </c>
      <c r="J90" s="2" t="s">
        <v>154</v>
      </c>
      <c r="K90">
        <v>25000</v>
      </c>
      <c r="L90">
        <v>95000</v>
      </c>
      <c r="M90" t="str">
        <f>IFERROR(INDEX($M$2:$M$1132,MATCH(B90,$B$2:$B$1132,0)),"")</f>
        <v>NETWORK SECURITY, ETHICAL HACKING, RISK ASSESSMENT</v>
      </c>
      <c r="N90" t="s">
        <v>74</v>
      </c>
      <c r="O90" t="s">
        <v>37</v>
      </c>
    </row>
    <row r="91" spans="1:15" x14ac:dyDescent="0.25">
      <c r="A91">
        <v>17939</v>
      </c>
      <c r="B91" t="s">
        <v>19</v>
      </c>
      <c r="C91" t="s">
        <v>39</v>
      </c>
      <c r="D91" t="s">
        <v>42</v>
      </c>
      <c r="E91" t="s">
        <v>48</v>
      </c>
      <c r="F91" t="s">
        <v>53</v>
      </c>
      <c r="G91" s="1">
        <v>45316</v>
      </c>
      <c r="H91" t="s">
        <v>57</v>
      </c>
      <c r="I91" s="2" t="s">
        <v>153</v>
      </c>
      <c r="J91" s="2" t="s">
        <v>154</v>
      </c>
      <c r="K91">
        <v>25000</v>
      </c>
      <c r="L91">
        <v>95000</v>
      </c>
      <c r="M91" t="str">
        <f>IFERROR(INDEX($M$2:$M$1132,MATCH(B91,$B$2:$B$1132,0)),"")</f>
        <v>NETWORK SECURITY, ETHICAL HACKING, RISK ASSESSMENT</v>
      </c>
      <c r="N91" t="s">
        <v>74</v>
      </c>
      <c r="O91" t="s">
        <v>78</v>
      </c>
    </row>
    <row r="92" spans="1:15" x14ac:dyDescent="0.25">
      <c r="A92">
        <v>17940</v>
      </c>
      <c r="B92" t="s">
        <v>19</v>
      </c>
      <c r="C92" t="s">
        <v>39</v>
      </c>
      <c r="D92" t="s">
        <v>42</v>
      </c>
      <c r="E92" t="s">
        <v>48</v>
      </c>
      <c r="F92" t="s">
        <v>53</v>
      </c>
      <c r="G92" s="1">
        <v>45529</v>
      </c>
      <c r="H92" t="s">
        <v>57</v>
      </c>
      <c r="I92" s="3" t="s">
        <v>155</v>
      </c>
      <c r="J92" s="2" t="s">
        <v>156</v>
      </c>
      <c r="K92">
        <v>25000</v>
      </c>
      <c r="L92">
        <v>95000</v>
      </c>
      <c r="M92" t="str">
        <f>IFERROR(INDEX($M$2:$M$1132,MATCH(B92,$B$2:$B$1132,0)),"")</f>
        <v>NETWORK SECURITY, ETHICAL HACKING, RISK ASSESSMENT</v>
      </c>
      <c r="N92" t="s">
        <v>74</v>
      </c>
      <c r="O92" t="s">
        <v>79</v>
      </c>
    </row>
    <row r="93" spans="1:15" x14ac:dyDescent="0.25">
      <c r="A93">
        <v>17941</v>
      </c>
      <c r="B93" t="s">
        <v>19</v>
      </c>
      <c r="C93" t="s">
        <v>39</v>
      </c>
      <c r="D93" t="s">
        <v>42</v>
      </c>
      <c r="E93" t="s">
        <v>48</v>
      </c>
      <c r="F93" t="s">
        <v>53</v>
      </c>
      <c r="G93" s="1">
        <v>45649</v>
      </c>
      <c r="H93" t="s">
        <v>57</v>
      </c>
      <c r="I93" s="3" t="s">
        <v>157</v>
      </c>
      <c r="J93" s="2" t="s">
        <v>158</v>
      </c>
      <c r="K93">
        <v>25000</v>
      </c>
      <c r="L93">
        <v>95000</v>
      </c>
      <c r="M93" t="str">
        <f>IFERROR(INDEX($M$2:$M$1132,MATCH(B93,$B$2:$B$1132,0)),"")</f>
        <v>NETWORK SECURITY, ETHICAL HACKING, RISK ASSESSMENT</v>
      </c>
      <c r="N93" t="s">
        <v>74</v>
      </c>
      <c r="O93" t="s">
        <v>80</v>
      </c>
    </row>
    <row r="94" spans="1:15" x14ac:dyDescent="0.25">
      <c r="A94">
        <v>17942</v>
      </c>
      <c r="B94" t="s">
        <v>19</v>
      </c>
      <c r="C94" t="s">
        <v>39</v>
      </c>
      <c r="D94" t="s">
        <v>42</v>
      </c>
      <c r="E94" t="s">
        <v>48</v>
      </c>
      <c r="F94" t="s">
        <v>53</v>
      </c>
      <c r="G94" s="1">
        <v>45327</v>
      </c>
      <c r="H94" t="s">
        <v>57</v>
      </c>
      <c r="I94" s="3" t="s">
        <v>159</v>
      </c>
      <c r="J94" s="2" t="s">
        <v>160</v>
      </c>
      <c r="K94">
        <v>25000</v>
      </c>
      <c r="L94">
        <v>95000</v>
      </c>
      <c r="M94" t="str">
        <f>IFERROR(INDEX($M$2:$M$1132,MATCH(B94,$B$2:$B$1132,0)),"")</f>
        <v>NETWORK SECURITY, ETHICAL HACKING, RISK ASSESSMENT</v>
      </c>
      <c r="N94" t="s">
        <v>74</v>
      </c>
      <c r="O94" t="s">
        <v>77</v>
      </c>
    </row>
    <row r="95" spans="1:15" x14ac:dyDescent="0.25">
      <c r="A95">
        <v>17943</v>
      </c>
      <c r="B95" t="s">
        <v>19</v>
      </c>
      <c r="C95" t="s">
        <v>39</v>
      </c>
      <c r="D95" t="s">
        <v>42</v>
      </c>
      <c r="E95" t="s">
        <v>48</v>
      </c>
      <c r="F95" t="s">
        <v>53</v>
      </c>
      <c r="G95" s="1">
        <v>45433</v>
      </c>
      <c r="H95" t="s">
        <v>57</v>
      </c>
      <c r="I95" s="3" t="s">
        <v>149</v>
      </c>
      <c r="J95" s="2" t="s">
        <v>150</v>
      </c>
      <c r="K95">
        <v>25000</v>
      </c>
      <c r="L95">
        <v>95000</v>
      </c>
      <c r="M95" t="str">
        <f>IFERROR(INDEX($M$2:$M$1132,MATCH(B95,$B$2:$B$1132,0)),"")</f>
        <v>NETWORK SECURITY, ETHICAL HACKING, RISK ASSESSMENT</v>
      </c>
      <c r="N95" t="s">
        <v>74</v>
      </c>
      <c r="O95" t="s">
        <v>79</v>
      </c>
    </row>
    <row r="96" spans="1:15" x14ac:dyDescent="0.25">
      <c r="A96">
        <v>17944</v>
      </c>
      <c r="B96" t="s">
        <v>19</v>
      </c>
      <c r="C96" t="s">
        <v>39</v>
      </c>
      <c r="D96" t="s">
        <v>42</v>
      </c>
      <c r="E96" t="s">
        <v>48</v>
      </c>
      <c r="F96" t="s">
        <v>53</v>
      </c>
      <c r="G96" s="1">
        <v>45624</v>
      </c>
      <c r="H96" t="s">
        <v>57</v>
      </c>
      <c r="I96" s="2" t="s">
        <v>151</v>
      </c>
      <c r="J96" s="2" t="s">
        <v>152</v>
      </c>
      <c r="K96">
        <v>25000</v>
      </c>
      <c r="L96">
        <v>95000</v>
      </c>
      <c r="M96" t="str">
        <f>IFERROR(INDEX($M$2:$M$1132,MATCH(B96,$B$2:$B$1132,0)),"")</f>
        <v>NETWORK SECURITY, ETHICAL HACKING, RISK ASSESSMENT</v>
      </c>
      <c r="N96" t="s">
        <v>74</v>
      </c>
      <c r="O96" t="s">
        <v>37</v>
      </c>
    </row>
    <row r="97" spans="1:15" x14ac:dyDescent="0.25">
      <c r="A97">
        <v>17945</v>
      </c>
      <c r="B97" t="s">
        <v>19</v>
      </c>
      <c r="C97" t="s">
        <v>39</v>
      </c>
      <c r="D97" t="s">
        <v>42</v>
      </c>
      <c r="E97" t="s">
        <v>48</v>
      </c>
      <c r="F97" t="s">
        <v>53</v>
      </c>
      <c r="G97" s="1">
        <v>45378</v>
      </c>
      <c r="H97" t="s">
        <v>57</v>
      </c>
      <c r="I97" s="2" t="s">
        <v>153</v>
      </c>
      <c r="J97" s="2" t="s">
        <v>154</v>
      </c>
      <c r="K97">
        <v>25000</v>
      </c>
      <c r="L97">
        <v>95000</v>
      </c>
      <c r="M97" t="str">
        <f>IFERROR(INDEX($M$2:$M$1132,MATCH(B97,$B$2:$B$1132,0)),"")</f>
        <v>NETWORK SECURITY, ETHICAL HACKING, RISK ASSESSMENT</v>
      </c>
      <c r="N97" t="s">
        <v>74</v>
      </c>
      <c r="O97" t="s">
        <v>78</v>
      </c>
    </row>
    <row r="98" spans="1:15" x14ac:dyDescent="0.25">
      <c r="A98">
        <v>17946</v>
      </c>
      <c r="B98" t="s">
        <v>19</v>
      </c>
      <c r="C98" t="s">
        <v>39</v>
      </c>
      <c r="D98" t="s">
        <v>42</v>
      </c>
      <c r="E98" t="s">
        <v>48</v>
      </c>
      <c r="F98" t="s">
        <v>53</v>
      </c>
      <c r="G98" s="1">
        <v>45455</v>
      </c>
      <c r="H98" t="s">
        <v>57</v>
      </c>
      <c r="I98" s="3" t="s">
        <v>157</v>
      </c>
      <c r="J98" s="2" t="s">
        <v>158</v>
      </c>
      <c r="K98">
        <v>25000</v>
      </c>
      <c r="L98">
        <v>95000</v>
      </c>
      <c r="M98" t="str">
        <f>IFERROR(INDEX($M$2:$M$1132,MATCH(B98,$B$2:$B$1132,0)),"")</f>
        <v>NETWORK SECURITY, ETHICAL HACKING, RISK ASSESSMENT</v>
      </c>
      <c r="N98" t="s">
        <v>74</v>
      </c>
      <c r="O98" t="s">
        <v>80</v>
      </c>
    </row>
    <row r="99" spans="1:15" x14ac:dyDescent="0.25">
      <c r="A99">
        <v>17947</v>
      </c>
      <c r="B99" t="s">
        <v>19</v>
      </c>
      <c r="C99" t="s">
        <v>39</v>
      </c>
      <c r="D99" t="s">
        <v>42</v>
      </c>
      <c r="E99" t="s">
        <v>48</v>
      </c>
      <c r="F99" t="s">
        <v>53</v>
      </c>
      <c r="G99" s="1">
        <v>45314</v>
      </c>
      <c r="H99" t="s">
        <v>57</v>
      </c>
      <c r="I99" s="3" t="s">
        <v>159</v>
      </c>
      <c r="J99" s="2" t="s">
        <v>160</v>
      </c>
      <c r="K99">
        <v>25000</v>
      </c>
      <c r="L99">
        <v>95000</v>
      </c>
      <c r="M99" t="str">
        <f>IFERROR(INDEX($M$2:$M$1132,MATCH(B99,$B$2:$B$1132,0)),"")</f>
        <v>NETWORK SECURITY, ETHICAL HACKING, RISK ASSESSMENT</v>
      </c>
      <c r="N99" t="s">
        <v>74</v>
      </c>
      <c r="O99" t="s">
        <v>79</v>
      </c>
    </row>
    <row r="100" spans="1:15" x14ac:dyDescent="0.25">
      <c r="A100">
        <v>17948</v>
      </c>
      <c r="B100" t="s">
        <v>19</v>
      </c>
      <c r="C100" t="s">
        <v>39</v>
      </c>
      <c r="D100" t="s">
        <v>42</v>
      </c>
      <c r="E100" t="s">
        <v>48</v>
      </c>
      <c r="F100" t="s">
        <v>53</v>
      </c>
      <c r="G100" s="1">
        <v>45541</v>
      </c>
      <c r="H100" t="s">
        <v>57</v>
      </c>
      <c r="I100" s="3" t="s">
        <v>149</v>
      </c>
      <c r="J100" s="2" t="s">
        <v>150</v>
      </c>
      <c r="K100">
        <v>25000</v>
      </c>
      <c r="L100">
        <v>95000</v>
      </c>
      <c r="M100" t="str">
        <f>IFERROR(INDEX($M$2:$M$1132,MATCH(B100,$B$2:$B$1132,0)),"")</f>
        <v>NETWORK SECURITY, ETHICAL HACKING, RISK ASSESSMENT</v>
      </c>
      <c r="N100" t="s">
        <v>74</v>
      </c>
      <c r="O100" t="s">
        <v>37</v>
      </c>
    </row>
    <row r="101" spans="1:15" x14ac:dyDescent="0.25">
      <c r="A101">
        <v>17949</v>
      </c>
      <c r="B101" t="s">
        <v>19</v>
      </c>
      <c r="C101" t="s">
        <v>31</v>
      </c>
      <c r="D101" t="str">
        <f>IFERROR(INDEX(Sheet2!$B$2:$B$1132,MATCH(Sheet1!C101,Sheet1!$C$2:$C$1132,0)),"IDK")</f>
        <v>IT</v>
      </c>
      <c r="E101" t="s">
        <v>48</v>
      </c>
      <c r="F101" t="s">
        <v>52</v>
      </c>
      <c r="G101" s="1">
        <v>45529</v>
      </c>
      <c r="H101" t="s">
        <v>57</v>
      </c>
      <c r="I101" s="2" t="s">
        <v>151</v>
      </c>
      <c r="J101" s="2" t="s">
        <v>152</v>
      </c>
      <c r="K101">
        <f>IFERROR(INDEX(Sheet2!$C$2:$C$1132,MATCH(Sheet1!C101,Sheet1!$C$2:$C$1132,0)),"")</f>
        <v>25000</v>
      </c>
      <c r="L101">
        <v>95000</v>
      </c>
      <c r="M101" t="str">
        <f>IFERROR(INDEX($M$2:$M$1132,MATCH(B101,$B$2:$B$1132,0)),"")</f>
        <v>NETWORK SECURITY, ETHICAL HACKING, RISK ASSESSMENT</v>
      </c>
      <c r="N101" t="s">
        <v>74</v>
      </c>
      <c r="O101" t="s">
        <v>78</v>
      </c>
    </row>
    <row r="102" spans="1:15" x14ac:dyDescent="0.25">
      <c r="A102">
        <v>17950</v>
      </c>
      <c r="B102" t="s">
        <v>19</v>
      </c>
      <c r="C102" t="s">
        <v>32</v>
      </c>
      <c r="D102" t="str">
        <f>IFERROR(INDEX(Sheet2!$B$2:$B$1132,MATCH(Sheet1!C102,Sheet1!$C$2:$C$1132,0)),"IDK")</f>
        <v>SOCIAL</v>
      </c>
      <c r="E102" t="s">
        <v>48</v>
      </c>
      <c r="F102" t="s">
        <v>52</v>
      </c>
      <c r="G102" s="1">
        <v>45438</v>
      </c>
      <c r="H102" t="s">
        <v>57</v>
      </c>
      <c r="I102" s="2" t="s">
        <v>153</v>
      </c>
      <c r="J102" s="2" t="s">
        <v>154</v>
      </c>
      <c r="K102">
        <f>IFERROR(INDEX(Sheet2!$C$2:$C$1132,MATCH(Sheet1!C102,Sheet1!$C$2:$C$1132,0)),"")</f>
        <v>20000</v>
      </c>
      <c r="L102">
        <v>95000</v>
      </c>
      <c r="M102" t="str">
        <f>IFERROR(INDEX($M$2:$M$1132,MATCH(B102,$B$2:$B$1132,0)),"")</f>
        <v>NETWORK SECURITY, ETHICAL HACKING, RISK ASSESSMENT</v>
      </c>
      <c r="N102" t="s">
        <v>74</v>
      </c>
      <c r="O102" t="s">
        <v>79</v>
      </c>
    </row>
    <row r="103" spans="1:15" x14ac:dyDescent="0.25">
      <c r="A103">
        <v>17951</v>
      </c>
      <c r="B103" t="s">
        <v>19</v>
      </c>
      <c r="C103" t="s">
        <v>33</v>
      </c>
      <c r="D103" t="str">
        <f>IFERROR(INDEX(Sheet2!$B$2:$B$1132,MATCH(Sheet1!C103,Sheet1!$C$2:$C$1132,0)),"IDK")</f>
        <v>FINANCE</v>
      </c>
      <c r="E103" t="s">
        <v>48</v>
      </c>
      <c r="F103" t="s">
        <v>52</v>
      </c>
      <c r="G103" s="1">
        <v>45459</v>
      </c>
      <c r="H103" t="s">
        <v>57</v>
      </c>
      <c r="I103" s="3" t="s">
        <v>157</v>
      </c>
      <c r="J103" s="2" t="s">
        <v>158</v>
      </c>
      <c r="K103">
        <f>IFERROR(INDEX(Sheet2!$C$2:$C$1132,MATCH(Sheet1!C103,Sheet1!$C$2:$C$1132,0)),"")</f>
        <v>40000</v>
      </c>
      <c r="L103">
        <v>95000</v>
      </c>
      <c r="M103" t="str">
        <f>IFERROR(INDEX($M$2:$M$1132,MATCH(B103,$B$2:$B$1132,0)),"")</f>
        <v>NETWORK SECURITY, ETHICAL HACKING, RISK ASSESSMENT</v>
      </c>
      <c r="N103" t="s">
        <v>74</v>
      </c>
      <c r="O103" t="s">
        <v>80</v>
      </c>
    </row>
    <row r="104" spans="1:15" x14ac:dyDescent="0.25">
      <c r="A104">
        <v>17952</v>
      </c>
      <c r="B104" t="s">
        <v>19</v>
      </c>
      <c r="C104" t="s">
        <v>23</v>
      </c>
      <c r="D104" t="str">
        <f>IFERROR(INDEX(Sheet2!$B$2:$B$1132,MATCH(Sheet1!C104,Sheet1!$C$2:$C$1132,0)),"IDK")</f>
        <v>IT</v>
      </c>
      <c r="E104" t="s">
        <v>48</v>
      </c>
      <c r="F104" t="s">
        <v>52</v>
      </c>
      <c r="G104" s="1">
        <v>45355</v>
      </c>
      <c r="H104" t="s">
        <v>57</v>
      </c>
      <c r="I104" s="3" t="s">
        <v>159</v>
      </c>
      <c r="J104" s="2" t="s">
        <v>160</v>
      </c>
      <c r="K104">
        <f>IFERROR(INDEX(Sheet2!$C$2:$C$1132,MATCH(Sheet1!C104,Sheet1!$C$2:$C$1132,0)),"")</f>
        <v>35000</v>
      </c>
      <c r="L104">
        <v>95000</v>
      </c>
      <c r="M104" t="str">
        <f>IFERROR(INDEX($M$2:$M$1132,MATCH(B104,$B$2:$B$1132,0)),"")</f>
        <v>NETWORK SECURITY, ETHICAL HACKING, RISK ASSESSMENT</v>
      </c>
      <c r="N104" t="s">
        <v>74</v>
      </c>
      <c r="O104" t="s">
        <v>77</v>
      </c>
    </row>
    <row r="105" spans="1:15" x14ac:dyDescent="0.25">
      <c r="A105">
        <v>17953</v>
      </c>
      <c r="B105" t="s">
        <v>19</v>
      </c>
      <c r="C105" t="s">
        <v>24</v>
      </c>
      <c r="D105" t="str">
        <f>IFERROR(INDEX(Sheet2!$B$2:$B$1132,MATCH(Sheet1!C105,Sheet1!$C$2:$C$1132,0)),"IDK")</f>
        <v>HEALTH</v>
      </c>
      <c r="E105" t="s">
        <v>48</v>
      </c>
      <c r="F105" t="s">
        <v>52</v>
      </c>
      <c r="G105" s="1">
        <v>45533</v>
      </c>
      <c r="H105" t="s">
        <v>57</v>
      </c>
      <c r="I105" s="3" t="s">
        <v>149</v>
      </c>
      <c r="J105" s="2" t="s">
        <v>150</v>
      </c>
      <c r="K105">
        <f>IFERROR(INDEX(Sheet2!$C$2:$C$1132,MATCH(Sheet1!C105,Sheet1!$C$2:$C$1132,0)),"")</f>
        <v>25000</v>
      </c>
      <c r="L105">
        <v>95000</v>
      </c>
      <c r="M105" t="str">
        <f>IFERROR(INDEX($M$2:$M$1132,MATCH(B105,$B$2:$B$1132,0)),"")</f>
        <v>NETWORK SECURITY, ETHICAL HACKING, RISK ASSESSMENT</v>
      </c>
      <c r="N105" t="s">
        <v>74</v>
      </c>
      <c r="O105" t="s">
        <v>79</v>
      </c>
    </row>
    <row r="106" spans="1:15" x14ac:dyDescent="0.25">
      <c r="A106">
        <v>17954</v>
      </c>
      <c r="B106" t="s">
        <v>19</v>
      </c>
      <c r="C106" t="s">
        <v>25</v>
      </c>
      <c r="D106" t="str">
        <f>IFERROR(INDEX(Sheet2!$B$2:$B$1132,MATCH(Sheet1!C106,Sheet1!$C$2:$C$1132,0)),"IDK")</f>
        <v>SOCIAL</v>
      </c>
      <c r="E106" t="s">
        <v>48</v>
      </c>
      <c r="F106" t="s">
        <v>52</v>
      </c>
      <c r="G106" s="1">
        <v>45479</v>
      </c>
      <c r="H106" t="s">
        <v>57</v>
      </c>
      <c r="I106" s="2" t="s">
        <v>151</v>
      </c>
      <c r="J106" s="2" t="s">
        <v>152</v>
      </c>
      <c r="K106">
        <f>IFERROR(INDEX(Sheet2!$C$2:$C$1132,MATCH(Sheet1!C106,Sheet1!$C$2:$C$1132,0)),"")</f>
        <v>30000</v>
      </c>
      <c r="L106">
        <v>95000</v>
      </c>
      <c r="M106" t="str">
        <f>IFERROR(INDEX($M$2:$M$1132,MATCH(B106,$B$2:$B$1132,0)),"")</f>
        <v>NETWORK SECURITY, ETHICAL HACKING, RISK ASSESSMENT</v>
      </c>
      <c r="N106" t="s">
        <v>74</v>
      </c>
      <c r="O106" t="s">
        <v>37</v>
      </c>
    </row>
    <row r="107" spans="1:15" x14ac:dyDescent="0.25">
      <c r="A107">
        <v>17955</v>
      </c>
      <c r="B107" t="s">
        <v>19</v>
      </c>
      <c r="C107" t="s">
        <v>26</v>
      </c>
      <c r="D107" t="str">
        <f>IFERROR(INDEX(Sheet2!$B$2:$B$1132,MATCH(Sheet1!C107,Sheet1!$C$2:$C$1132,0)),"IDK")</f>
        <v>FINANCE</v>
      </c>
      <c r="E107" t="s">
        <v>48</v>
      </c>
      <c r="F107" t="s">
        <v>52</v>
      </c>
      <c r="G107" s="1">
        <v>45554</v>
      </c>
      <c r="H107" t="s">
        <v>57</v>
      </c>
      <c r="I107" s="2" t="s">
        <v>153</v>
      </c>
      <c r="J107" s="2" t="s">
        <v>154</v>
      </c>
      <c r="K107">
        <f>IFERROR(INDEX(Sheet2!$C$2:$C$1132,MATCH(Sheet1!C107,Sheet1!$C$2:$C$1132,0)),"")</f>
        <v>35000</v>
      </c>
      <c r="L107">
        <v>95000</v>
      </c>
      <c r="M107" t="str">
        <f>IFERROR(INDEX($M$2:$M$1132,MATCH(B107,$B$2:$B$1132,0)),"")</f>
        <v>NETWORK SECURITY, ETHICAL HACKING, RISK ASSESSMENT</v>
      </c>
      <c r="N107" t="s">
        <v>74</v>
      </c>
      <c r="O107" t="s">
        <v>78</v>
      </c>
    </row>
    <row r="108" spans="1:15" x14ac:dyDescent="0.25">
      <c r="A108">
        <v>17956</v>
      </c>
      <c r="B108" t="s">
        <v>19</v>
      </c>
      <c r="C108" t="s">
        <v>37</v>
      </c>
      <c r="D108" t="s">
        <v>43</v>
      </c>
      <c r="E108" t="s">
        <v>48</v>
      </c>
      <c r="F108" t="s">
        <v>52</v>
      </c>
      <c r="G108" s="1">
        <v>45552</v>
      </c>
      <c r="H108" t="s">
        <v>57</v>
      </c>
      <c r="I108" s="3" t="s">
        <v>157</v>
      </c>
      <c r="J108" s="2" t="s">
        <v>158</v>
      </c>
      <c r="K108">
        <v>45000</v>
      </c>
      <c r="L108">
        <v>95000</v>
      </c>
      <c r="M108" t="str">
        <f>IFERROR(INDEX($M$2:$M$1132,MATCH(B108,$B$2:$B$1132,0)),"")</f>
        <v>NETWORK SECURITY, ETHICAL HACKING, RISK ASSESSMENT</v>
      </c>
      <c r="N108" t="s">
        <v>74</v>
      </c>
      <c r="O108" t="s">
        <v>80</v>
      </c>
    </row>
    <row r="109" spans="1:15" x14ac:dyDescent="0.25">
      <c r="A109">
        <v>17957</v>
      </c>
      <c r="B109" t="s">
        <v>19</v>
      </c>
      <c r="C109" t="s">
        <v>38</v>
      </c>
      <c r="D109" t="s">
        <v>42</v>
      </c>
      <c r="E109" t="s">
        <v>48</v>
      </c>
      <c r="F109" t="s">
        <v>52</v>
      </c>
      <c r="G109" s="1">
        <v>45405</v>
      </c>
      <c r="H109" t="s">
        <v>57</v>
      </c>
      <c r="I109" s="3" t="s">
        <v>159</v>
      </c>
      <c r="J109" s="2" t="s">
        <v>160</v>
      </c>
      <c r="K109">
        <v>20000</v>
      </c>
      <c r="L109">
        <v>95000</v>
      </c>
      <c r="M109" t="str">
        <f>IFERROR(INDEX($M$2:$M$1132,MATCH(B109,$B$2:$B$1132,0)),"")</f>
        <v>NETWORK SECURITY, ETHICAL HACKING, RISK ASSESSMENT</v>
      </c>
      <c r="N109" t="s">
        <v>74</v>
      </c>
      <c r="O109" t="s">
        <v>79</v>
      </c>
    </row>
    <row r="110" spans="1:15" x14ac:dyDescent="0.25">
      <c r="A110">
        <v>17958</v>
      </c>
      <c r="B110" t="s">
        <v>19</v>
      </c>
      <c r="C110" t="s">
        <v>39</v>
      </c>
      <c r="D110" t="s">
        <v>42</v>
      </c>
      <c r="E110" t="s">
        <v>48</v>
      </c>
      <c r="F110" t="s">
        <v>52</v>
      </c>
      <c r="G110" s="1">
        <v>45516</v>
      </c>
      <c r="H110" t="s">
        <v>57</v>
      </c>
      <c r="I110" s="3" t="s">
        <v>149</v>
      </c>
      <c r="J110" s="2" t="s">
        <v>150</v>
      </c>
      <c r="K110">
        <v>25000</v>
      </c>
      <c r="L110">
        <v>95000</v>
      </c>
      <c r="M110" t="str">
        <f>IFERROR(INDEX($M$2:$M$1132,MATCH(B110,$B$2:$B$1132,0)),"")</f>
        <v>NETWORK SECURITY, ETHICAL HACKING, RISK ASSESSMENT</v>
      </c>
      <c r="N110" t="s">
        <v>74</v>
      </c>
      <c r="O110" t="s">
        <v>37</v>
      </c>
    </row>
    <row r="111" spans="1:15" x14ac:dyDescent="0.25">
      <c r="A111">
        <v>17959</v>
      </c>
      <c r="B111" t="s">
        <v>19</v>
      </c>
      <c r="C111" t="s">
        <v>39</v>
      </c>
      <c r="D111" t="s">
        <v>42</v>
      </c>
      <c r="E111" t="s">
        <v>48</v>
      </c>
      <c r="F111" t="s">
        <v>52</v>
      </c>
      <c r="G111" s="1">
        <v>45595</v>
      </c>
      <c r="H111" t="s">
        <v>57</v>
      </c>
      <c r="I111" s="2" t="s">
        <v>151</v>
      </c>
      <c r="J111" s="2" t="s">
        <v>152</v>
      </c>
      <c r="K111">
        <v>25000</v>
      </c>
      <c r="L111">
        <v>95000</v>
      </c>
      <c r="M111" t="str">
        <f>IFERROR(INDEX($M$2:$M$1132,MATCH(B111,$B$2:$B$1132,0)),"")</f>
        <v>NETWORK SECURITY, ETHICAL HACKING, RISK ASSESSMENT</v>
      </c>
      <c r="N111" t="s">
        <v>74</v>
      </c>
      <c r="O111" t="s">
        <v>78</v>
      </c>
    </row>
    <row r="112" spans="1:15" x14ac:dyDescent="0.25">
      <c r="A112">
        <v>17960</v>
      </c>
      <c r="B112" t="s">
        <v>19</v>
      </c>
      <c r="C112" t="s">
        <v>39</v>
      </c>
      <c r="D112" t="s">
        <v>42</v>
      </c>
      <c r="E112" t="s">
        <v>48</v>
      </c>
      <c r="F112" t="s">
        <v>52</v>
      </c>
      <c r="G112" s="1">
        <v>45432</v>
      </c>
      <c r="H112" t="s">
        <v>57</v>
      </c>
      <c r="I112" s="2" t="s">
        <v>153</v>
      </c>
      <c r="J112" s="2" t="s">
        <v>154</v>
      </c>
      <c r="K112">
        <v>25000</v>
      </c>
      <c r="L112">
        <v>95000</v>
      </c>
      <c r="M112" t="str">
        <f>IFERROR(INDEX($M$2:$M$1132,MATCH(B112,$B$2:$B$1132,0)),"")</f>
        <v>NETWORK SECURITY, ETHICAL HACKING, RISK ASSESSMENT</v>
      </c>
      <c r="N112" t="s">
        <v>74</v>
      </c>
      <c r="O112" t="s">
        <v>79</v>
      </c>
    </row>
    <row r="113" spans="1:15" x14ac:dyDescent="0.25">
      <c r="A113">
        <v>17961</v>
      </c>
      <c r="B113" t="s">
        <v>19</v>
      </c>
      <c r="C113" t="s">
        <v>39</v>
      </c>
      <c r="D113" t="s">
        <v>42</v>
      </c>
      <c r="E113" t="s">
        <v>48</v>
      </c>
      <c r="F113" t="s">
        <v>52</v>
      </c>
      <c r="G113" s="1">
        <v>45423</v>
      </c>
      <c r="H113" t="s">
        <v>57</v>
      </c>
      <c r="I113" s="3" t="s">
        <v>155</v>
      </c>
      <c r="J113" s="2" t="s">
        <v>156</v>
      </c>
      <c r="K113">
        <v>25000</v>
      </c>
      <c r="L113">
        <v>95000</v>
      </c>
      <c r="M113" t="str">
        <f>IFERROR(INDEX($M$2:$M$1132,MATCH(B113,$B$2:$B$1132,0)),"")</f>
        <v>NETWORK SECURITY, ETHICAL HACKING, RISK ASSESSMENT</v>
      </c>
      <c r="N113" t="s">
        <v>74</v>
      </c>
      <c r="O113" t="s">
        <v>80</v>
      </c>
    </row>
    <row r="114" spans="1:15" x14ac:dyDescent="0.25">
      <c r="A114">
        <v>17962</v>
      </c>
      <c r="B114" t="s">
        <v>19</v>
      </c>
      <c r="C114" t="s">
        <v>39</v>
      </c>
      <c r="D114" t="s">
        <v>42</v>
      </c>
      <c r="E114" t="s">
        <v>48</v>
      </c>
      <c r="F114" t="s">
        <v>52</v>
      </c>
      <c r="G114" s="1">
        <v>45559</v>
      </c>
      <c r="H114" t="s">
        <v>57</v>
      </c>
      <c r="I114" s="3" t="s">
        <v>157</v>
      </c>
      <c r="J114" s="2" t="s">
        <v>158</v>
      </c>
      <c r="K114">
        <v>25000</v>
      </c>
      <c r="L114">
        <v>95000</v>
      </c>
      <c r="M114" t="str">
        <f>IFERROR(INDEX($M$2:$M$1132,MATCH(B114,$B$2:$B$1132,0)),"")</f>
        <v>NETWORK SECURITY, ETHICAL HACKING, RISK ASSESSMENT</v>
      </c>
      <c r="N114" t="s">
        <v>74</v>
      </c>
      <c r="O114" t="s">
        <v>77</v>
      </c>
    </row>
    <row r="115" spans="1:15" x14ac:dyDescent="0.25">
      <c r="A115">
        <v>17963</v>
      </c>
      <c r="B115" t="s">
        <v>19</v>
      </c>
      <c r="C115" t="s">
        <v>39</v>
      </c>
      <c r="D115" t="s">
        <v>42</v>
      </c>
      <c r="E115" t="s">
        <v>48</v>
      </c>
      <c r="F115" t="s">
        <v>52</v>
      </c>
      <c r="G115" s="1">
        <v>45564</v>
      </c>
      <c r="H115" t="s">
        <v>57</v>
      </c>
      <c r="I115" s="3" t="s">
        <v>159</v>
      </c>
      <c r="J115" s="2" t="s">
        <v>160</v>
      </c>
      <c r="K115">
        <v>25000</v>
      </c>
      <c r="L115">
        <v>95000</v>
      </c>
      <c r="M115" t="str">
        <f>IFERROR(INDEX($M$2:$M$1132,MATCH(B115,$B$2:$B$1132,0)),"")</f>
        <v>NETWORK SECURITY, ETHICAL HACKING, RISK ASSESSMENT</v>
      </c>
      <c r="N115" t="s">
        <v>74</v>
      </c>
      <c r="O115" t="s">
        <v>79</v>
      </c>
    </row>
    <row r="116" spans="1:15" x14ac:dyDescent="0.25">
      <c r="A116">
        <v>17964</v>
      </c>
      <c r="B116" t="s">
        <v>19</v>
      </c>
      <c r="C116" t="s">
        <v>39</v>
      </c>
      <c r="D116" t="s">
        <v>42</v>
      </c>
      <c r="E116" t="s">
        <v>48</v>
      </c>
      <c r="F116" t="s">
        <v>52</v>
      </c>
      <c r="G116" s="1">
        <v>45327</v>
      </c>
      <c r="H116" t="s">
        <v>57</v>
      </c>
      <c r="I116" s="3" t="s">
        <v>149</v>
      </c>
      <c r="J116" s="2" t="s">
        <v>150</v>
      </c>
      <c r="K116">
        <v>25000</v>
      </c>
      <c r="L116">
        <v>95000</v>
      </c>
      <c r="M116" t="str">
        <f>IFERROR(INDEX($M$2:$M$1132,MATCH(B116,$B$2:$B$1132,0)),"")</f>
        <v>NETWORK SECURITY, ETHICAL HACKING, RISK ASSESSMENT</v>
      </c>
      <c r="N116" t="s">
        <v>74</v>
      </c>
      <c r="O116" t="s">
        <v>37</v>
      </c>
    </row>
    <row r="117" spans="1:15" x14ac:dyDescent="0.25">
      <c r="A117">
        <v>17965</v>
      </c>
      <c r="B117" t="s">
        <v>19</v>
      </c>
      <c r="C117" t="s">
        <v>39</v>
      </c>
      <c r="D117" t="s">
        <v>42</v>
      </c>
      <c r="E117" t="s">
        <v>48</v>
      </c>
      <c r="F117" t="s">
        <v>52</v>
      </c>
      <c r="G117" s="1">
        <v>45563</v>
      </c>
      <c r="H117" t="s">
        <v>57</v>
      </c>
      <c r="I117" s="2" t="s">
        <v>151</v>
      </c>
      <c r="J117" s="2" t="s">
        <v>152</v>
      </c>
      <c r="K117">
        <v>25000</v>
      </c>
      <c r="L117">
        <v>95000</v>
      </c>
      <c r="M117" t="str">
        <f>IFERROR(INDEX($M$2:$M$1132,MATCH(B117,$B$2:$B$1132,0)),"")</f>
        <v>NETWORK SECURITY, ETHICAL HACKING, RISK ASSESSMENT</v>
      </c>
      <c r="N117" t="s">
        <v>74</v>
      </c>
      <c r="O117" t="s">
        <v>78</v>
      </c>
    </row>
    <row r="118" spans="1:15" x14ac:dyDescent="0.25">
      <c r="A118">
        <v>17966</v>
      </c>
      <c r="B118" t="s">
        <v>19</v>
      </c>
      <c r="C118" t="s">
        <v>39</v>
      </c>
      <c r="D118" t="s">
        <v>42</v>
      </c>
      <c r="E118" t="s">
        <v>48</v>
      </c>
      <c r="F118" t="s">
        <v>52</v>
      </c>
      <c r="G118" s="1">
        <v>45422</v>
      </c>
      <c r="H118" t="s">
        <v>57</v>
      </c>
      <c r="I118" s="3" t="s">
        <v>149</v>
      </c>
      <c r="J118" s="2" t="s">
        <v>150</v>
      </c>
      <c r="K118">
        <v>25000</v>
      </c>
      <c r="L118">
        <v>95000</v>
      </c>
      <c r="M118" t="str">
        <f>IFERROR(INDEX($M$2:$M$1132,MATCH(B118,$B$2:$B$1132,0)),"")</f>
        <v>NETWORK SECURITY, ETHICAL HACKING, RISK ASSESSMENT</v>
      </c>
      <c r="N118" t="s">
        <v>74</v>
      </c>
      <c r="O118" t="s">
        <v>80</v>
      </c>
    </row>
    <row r="119" spans="1:15" x14ac:dyDescent="0.25">
      <c r="A119">
        <v>17967</v>
      </c>
      <c r="B119" t="s">
        <v>19</v>
      </c>
      <c r="C119" t="s">
        <v>39</v>
      </c>
      <c r="D119" t="s">
        <v>42</v>
      </c>
      <c r="E119" t="s">
        <v>48</v>
      </c>
      <c r="F119" t="s">
        <v>52</v>
      </c>
      <c r="G119" s="1">
        <v>45332</v>
      </c>
      <c r="H119" t="s">
        <v>57</v>
      </c>
      <c r="I119" s="2" t="s">
        <v>151</v>
      </c>
      <c r="J119" s="2" t="s">
        <v>152</v>
      </c>
      <c r="K119">
        <v>25000</v>
      </c>
      <c r="L119">
        <v>95000</v>
      </c>
      <c r="M119" t="str">
        <f>IFERROR(INDEX($M$2:$M$1132,MATCH(B119,$B$2:$B$1132,0)),"")</f>
        <v>NETWORK SECURITY, ETHICAL HACKING, RISK ASSESSMENT</v>
      </c>
      <c r="N119" t="s">
        <v>74</v>
      </c>
      <c r="O119" t="s">
        <v>79</v>
      </c>
    </row>
    <row r="120" spans="1:15" x14ac:dyDescent="0.25">
      <c r="A120">
        <v>17968</v>
      </c>
      <c r="B120" t="s">
        <v>19</v>
      </c>
      <c r="C120" t="s">
        <v>39</v>
      </c>
      <c r="D120" t="s">
        <v>42</v>
      </c>
      <c r="E120" t="s">
        <v>48</v>
      </c>
      <c r="F120" t="s">
        <v>52</v>
      </c>
      <c r="G120" s="1">
        <v>45399</v>
      </c>
      <c r="H120" t="s">
        <v>57</v>
      </c>
      <c r="I120" s="2" t="s">
        <v>153</v>
      </c>
      <c r="J120" s="2" t="s">
        <v>154</v>
      </c>
      <c r="K120">
        <v>25000</v>
      </c>
      <c r="L120">
        <v>95000</v>
      </c>
      <c r="M120" t="str">
        <f>IFERROR(INDEX($M$2:$M$1132,MATCH(B120,$B$2:$B$1132,0)),"")</f>
        <v>NETWORK SECURITY, ETHICAL HACKING, RISK ASSESSMENT</v>
      </c>
      <c r="N120" t="s">
        <v>74</v>
      </c>
      <c r="O120" t="s">
        <v>37</v>
      </c>
    </row>
    <row r="121" spans="1:15" x14ac:dyDescent="0.25">
      <c r="A121">
        <v>17969</v>
      </c>
      <c r="B121" t="s">
        <v>19</v>
      </c>
      <c r="C121" t="s">
        <v>39</v>
      </c>
      <c r="D121" t="s">
        <v>42</v>
      </c>
      <c r="E121" t="s">
        <v>48</v>
      </c>
      <c r="F121" t="s">
        <v>52</v>
      </c>
      <c r="G121" s="1">
        <v>45610</v>
      </c>
      <c r="H121" t="s">
        <v>57</v>
      </c>
      <c r="I121" s="3" t="s">
        <v>157</v>
      </c>
      <c r="J121" s="2" t="s">
        <v>158</v>
      </c>
      <c r="K121">
        <v>25000</v>
      </c>
      <c r="L121">
        <v>95000</v>
      </c>
      <c r="M121" t="str">
        <f>IFERROR(INDEX($M$2:$M$1132,MATCH(B121,$B$2:$B$1132,0)),"")</f>
        <v>NETWORK SECURITY, ETHICAL HACKING, RISK ASSESSMENT</v>
      </c>
      <c r="N121" t="s">
        <v>74</v>
      </c>
      <c r="O121" t="s">
        <v>78</v>
      </c>
    </row>
    <row r="122" spans="1:15" x14ac:dyDescent="0.25">
      <c r="A122">
        <v>17970</v>
      </c>
      <c r="B122" t="s">
        <v>19</v>
      </c>
      <c r="C122" t="s">
        <v>39</v>
      </c>
      <c r="D122" t="s">
        <v>42</v>
      </c>
      <c r="E122" t="s">
        <v>48</v>
      </c>
      <c r="F122" t="s">
        <v>52</v>
      </c>
      <c r="G122" s="1">
        <v>45384</v>
      </c>
      <c r="H122" t="s">
        <v>57</v>
      </c>
      <c r="I122" s="3" t="s">
        <v>159</v>
      </c>
      <c r="J122" s="2" t="s">
        <v>160</v>
      </c>
      <c r="K122">
        <v>25000</v>
      </c>
      <c r="L122">
        <v>95000</v>
      </c>
      <c r="M122" t="str">
        <f>IFERROR(INDEX($M$2:$M$1132,MATCH(B122,$B$2:$B$1132,0)),"")</f>
        <v>NETWORK SECURITY, ETHICAL HACKING, RISK ASSESSMENT</v>
      </c>
      <c r="N122" t="s">
        <v>74</v>
      </c>
      <c r="O122" t="s">
        <v>79</v>
      </c>
    </row>
    <row r="123" spans="1:15" x14ac:dyDescent="0.25">
      <c r="A123">
        <v>17971</v>
      </c>
      <c r="B123" t="s">
        <v>19</v>
      </c>
      <c r="C123" t="s">
        <v>39</v>
      </c>
      <c r="D123" t="s">
        <v>42</v>
      </c>
      <c r="E123" t="s">
        <v>48</v>
      </c>
      <c r="F123" t="s">
        <v>52</v>
      </c>
      <c r="G123" s="1">
        <v>45326</v>
      </c>
      <c r="H123" t="s">
        <v>57</v>
      </c>
      <c r="I123" s="2" t="s">
        <v>153</v>
      </c>
      <c r="J123" s="2" t="s">
        <v>154</v>
      </c>
      <c r="K123">
        <v>25000</v>
      </c>
      <c r="L123">
        <v>95000</v>
      </c>
      <c r="M123" t="str">
        <f>IFERROR(INDEX($M$2:$M$1132,MATCH(B123,$B$2:$B$1132,0)),"")</f>
        <v>NETWORK SECURITY, ETHICAL HACKING, RISK ASSESSMENT</v>
      </c>
      <c r="N123" t="s">
        <v>74</v>
      </c>
      <c r="O123" t="s">
        <v>80</v>
      </c>
    </row>
    <row r="124" spans="1:15" x14ac:dyDescent="0.25">
      <c r="A124">
        <v>17972</v>
      </c>
      <c r="B124" t="s">
        <v>19</v>
      </c>
      <c r="C124" t="s">
        <v>39</v>
      </c>
      <c r="D124" t="s">
        <v>42</v>
      </c>
      <c r="E124" t="s">
        <v>48</v>
      </c>
      <c r="F124" t="s">
        <v>52</v>
      </c>
      <c r="G124" s="1">
        <v>45577</v>
      </c>
      <c r="H124" t="s">
        <v>57</v>
      </c>
      <c r="I124" s="3" t="s">
        <v>155</v>
      </c>
      <c r="J124" s="2" t="s">
        <v>156</v>
      </c>
      <c r="K124">
        <v>25000</v>
      </c>
      <c r="L124">
        <v>95000</v>
      </c>
      <c r="M124" t="str">
        <f>IFERROR(INDEX($M$2:$M$1132,MATCH(B124,$B$2:$B$1132,0)),"")</f>
        <v>NETWORK SECURITY, ETHICAL HACKING, RISK ASSESSMENT</v>
      </c>
      <c r="N124" t="s">
        <v>74</v>
      </c>
      <c r="O124" t="s">
        <v>77</v>
      </c>
    </row>
    <row r="125" spans="1:15" x14ac:dyDescent="0.25">
      <c r="A125">
        <v>17973</v>
      </c>
      <c r="B125" t="s">
        <v>19</v>
      </c>
      <c r="C125" t="s">
        <v>39</v>
      </c>
      <c r="D125" t="s">
        <v>42</v>
      </c>
      <c r="E125" t="s">
        <v>48</v>
      </c>
      <c r="F125" t="s">
        <v>52</v>
      </c>
      <c r="G125" s="1">
        <v>45430</v>
      </c>
      <c r="H125" t="s">
        <v>57</v>
      </c>
      <c r="I125" s="3" t="s">
        <v>157</v>
      </c>
      <c r="J125" s="2" t="s">
        <v>158</v>
      </c>
      <c r="K125">
        <v>25000</v>
      </c>
      <c r="L125">
        <v>95000</v>
      </c>
      <c r="M125" t="str">
        <f>IFERROR(INDEX($M$2:$M$1132,MATCH(B125,$B$2:$B$1132,0)),"")</f>
        <v>NETWORK SECURITY, ETHICAL HACKING, RISK ASSESSMENT</v>
      </c>
      <c r="N125" t="s">
        <v>74</v>
      </c>
      <c r="O125" t="s">
        <v>79</v>
      </c>
    </row>
    <row r="126" spans="1:15" x14ac:dyDescent="0.25">
      <c r="A126">
        <v>17974</v>
      </c>
      <c r="B126" t="s">
        <v>19</v>
      </c>
      <c r="C126" t="s">
        <v>38</v>
      </c>
      <c r="D126" t="s">
        <v>42</v>
      </c>
      <c r="E126" t="s">
        <v>48</v>
      </c>
      <c r="F126" t="s">
        <v>52</v>
      </c>
      <c r="G126" s="1">
        <v>45508</v>
      </c>
      <c r="H126" t="s">
        <v>57</v>
      </c>
      <c r="I126" s="3" t="s">
        <v>159</v>
      </c>
      <c r="J126" s="2" t="s">
        <v>160</v>
      </c>
      <c r="K126">
        <v>25000</v>
      </c>
      <c r="L126">
        <v>95000</v>
      </c>
      <c r="M126" t="str">
        <f>IFERROR(INDEX($M$2:$M$1132,MATCH(B126,$B$2:$B$1132,0)),"")</f>
        <v>NETWORK SECURITY, ETHICAL HACKING, RISK ASSESSMENT</v>
      </c>
      <c r="N126" t="s">
        <v>74</v>
      </c>
      <c r="O126" t="s">
        <v>37</v>
      </c>
    </row>
    <row r="127" spans="1:15" x14ac:dyDescent="0.25">
      <c r="A127">
        <v>17975</v>
      </c>
      <c r="B127" t="s">
        <v>19</v>
      </c>
      <c r="C127" t="s">
        <v>23</v>
      </c>
      <c r="D127" t="str">
        <f>IFERROR(INDEX(Sheet2!$B$2:$B$1132,MATCH(Sheet1!C127,Sheet1!$C$2:$C$1132,0)),"IDK")</f>
        <v>IT</v>
      </c>
      <c r="E127" t="s">
        <v>48</v>
      </c>
      <c r="F127" t="s">
        <v>52</v>
      </c>
      <c r="G127" s="1">
        <v>45512</v>
      </c>
      <c r="H127" t="s">
        <v>57</v>
      </c>
      <c r="I127" s="3" t="s">
        <v>149</v>
      </c>
      <c r="J127" s="2" t="s">
        <v>150</v>
      </c>
      <c r="K127">
        <f>IFERROR(INDEX(Sheet2!$C$2:$C$1132,MATCH(Sheet1!C127,Sheet1!$C$2:$C$1132,0)),"")</f>
        <v>35000</v>
      </c>
      <c r="L127">
        <f>IFERROR(INDEX(Sheet2!$D$2:$D$1132,MATCH(Sheet1!C127,$C$2:$C$1132,0)),"")</f>
        <v>70000</v>
      </c>
      <c r="M127" t="str">
        <f>IFERROR(INDEX($M$2:$M$1132,MATCH(B127,$B$2:$B$1132,0)),"")</f>
        <v>NETWORK SECURITY, ETHICAL HACKING, RISK ASSESSMENT</v>
      </c>
      <c r="N127" t="s">
        <v>74</v>
      </c>
      <c r="O127" t="s">
        <v>78</v>
      </c>
    </row>
    <row r="128" spans="1:15" x14ac:dyDescent="0.25">
      <c r="A128">
        <v>17976</v>
      </c>
      <c r="B128" t="s">
        <v>19</v>
      </c>
      <c r="C128" t="s">
        <v>30</v>
      </c>
      <c r="D128" t="str">
        <f>IFERROR(INDEX(Sheet2!$B$2:$B$1132,MATCH(Sheet1!C128,Sheet1!$C$2:$C$1132,0)),"IDK")</f>
        <v>IT</v>
      </c>
      <c r="E128" t="s">
        <v>48</v>
      </c>
      <c r="F128" t="s">
        <v>52</v>
      </c>
      <c r="G128" s="1">
        <v>45357</v>
      </c>
      <c r="H128" t="s">
        <v>57</v>
      </c>
      <c r="I128" s="2" t="s">
        <v>151</v>
      </c>
      <c r="J128" s="2" t="s">
        <v>152</v>
      </c>
      <c r="K128">
        <f>IFERROR(INDEX(Sheet2!$C$2:$C$1132,MATCH(Sheet1!C128,Sheet1!$C$2:$C$1132,0)),"")</f>
        <v>25000</v>
      </c>
      <c r="L128">
        <f>IFERROR(INDEX(Sheet2!$D$2:$D$1132,MATCH(Sheet1!C128,$C$2:$C$1132,0)),"")</f>
        <v>60000</v>
      </c>
      <c r="M128" t="str">
        <f>IFERROR(INDEX($M$2:$M$1132,MATCH(B128,$B$2:$B$1132,0)),"")</f>
        <v>NETWORK SECURITY, ETHICAL HACKING, RISK ASSESSMENT</v>
      </c>
      <c r="N128" t="s">
        <v>74</v>
      </c>
      <c r="O128" t="s">
        <v>80</v>
      </c>
    </row>
    <row r="129" spans="1:15" x14ac:dyDescent="0.25">
      <c r="A129">
        <v>17977</v>
      </c>
      <c r="B129" t="s">
        <v>19</v>
      </c>
      <c r="C129" t="s">
        <v>31</v>
      </c>
      <c r="D129" t="str">
        <f>IFERROR(INDEX(Sheet2!$B$2:$B$1132,MATCH(Sheet1!C129,Sheet1!$C$2:$C$1132,0)),"IDK")</f>
        <v>IT</v>
      </c>
      <c r="E129" t="s">
        <v>48</v>
      </c>
      <c r="F129" t="s">
        <v>52</v>
      </c>
      <c r="G129" s="1">
        <v>45394</v>
      </c>
      <c r="H129" t="s">
        <v>57</v>
      </c>
      <c r="I129" s="3" t="s">
        <v>149</v>
      </c>
      <c r="J129" s="2" t="s">
        <v>150</v>
      </c>
      <c r="K129">
        <f>IFERROR(INDEX(Sheet2!$C$2:$C$1132,MATCH(Sheet1!C129,Sheet1!$C$2:$C$1132,0)),"")</f>
        <v>25000</v>
      </c>
      <c r="L129">
        <f>IFERROR(INDEX(Sheet2!$D$2:$D$1132,MATCH(Sheet1!C129,$C$2:$C$1132,0)),"")</f>
        <v>75000</v>
      </c>
      <c r="M129" t="str">
        <f>IFERROR(INDEX($M$2:$M$1132,MATCH(B129,$B$2:$B$1132,0)),"")</f>
        <v>NETWORK SECURITY, ETHICAL HACKING, RISK ASSESSMENT</v>
      </c>
      <c r="N129" t="s">
        <v>74</v>
      </c>
      <c r="O129" t="s">
        <v>79</v>
      </c>
    </row>
    <row r="130" spans="1:15" x14ac:dyDescent="0.25">
      <c r="A130">
        <v>17978</v>
      </c>
      <c r="B130" t="s">
        <v>19</v>
      </c>
      <c r="C130" t="s">
        <v>32</v>
      </c>
      <c r="D130" t="str">
        <f>IFERROR(INDEX(Sheet2!$B$2:$B$1132,MATCH(Sheet1!C130,Sheet1!$C$2:$C$1132,0)),"IDK")</f>
        <v>SOCIAL</v>
      </c>
      <c r="E130" t="s">
        <v>48</v>
      </c>
      <c r="F130" t="s">
        <v>52</v>
      </c>
      <c r="G130" s="1">
        <v>45437</v>
      </c>
      <c r="H130" t="s">
        <v>57</v>
      </c>
      <c r="I130" s="2" t="s">
        <v>151</v>
      </c>
      <c r="J130" s="2" t="s">
        <v>152</v>
      </c>
      <c r="K130">
        <f>IFERROR(INDEX(Sheet2!$C$2:$C$1132,MATCH(Sheet1!C130,Sheet1!$C$2:$C$1132,0)),"")</f>
        <v>20000</v>
      </c>
      <c r="L130">
        <f>IFERROR(INDEX(Sheet2!$D$2:$D$1132,MATCH(Sheet1!C130,$C$2:$C$1132,0)),"")</f>
        <v>70000</v>
      </c>
      <c r="M130" t="str">
        <f>IFERROR(INDEX($M$2:$M$1132,MATCH(B130,$B$2:$B$1132,0)),"")</f>
        <v>NETWORK SECURITY, ETHICAL HACKING, RISK ASSESSMENT</v>
      </c>
      <c r="N130" t="s">
        <v>74</v>
      </c>
      <c r="O130" t="s">
        <v>37</v>
      </c>
    </row>
    <row r="131" spans="1:15" x14ac:dyDescent="0.25">
      <c r="A131">
        <v>17979</v>
      </c>
      <c r="B131" t="s">
        <v>19</v>
      </c>
      <c r="C131" t="s">
        <v>33</v>
      </c>
      <c r="D131" t="str">
        <f>IFERROR(INDEX(Sheet2!$B$2:$B$1132,MATCH(Sheet1!C131,Sheet1!$C$2:$C$1132,0)),"IDK")</f>
        <v>FINANCE</v>
      </c>
      <c r="E131" t="s">
        <v>48</v>
      </c>
      <c r="F131" t="s">
        <v>52</v>
      </c>
      <c r="G131" s="1">
        <v>45526</v>
      </c>
      <c r="H131" t="s">
        <v>57</v>
      </c>
      <c r="I131" s="2" t="s">
        <v>153</v>
      </c>
      <c r="J131" s="2" t="s">
        <v>154</v>
      </c>
      <c r="K131">
        <f>IFERROR(INDEX(Sheet2!$C$2:$C$1132,MATCH(Sheet1!C131,Sheet1!$C$2:$C$1132,0)),"")</f>
        <v>40000</v>
      </c>
      <c r="L131">
        <f>IFERROR(INDEX(Sheet2!$D$2:$D$1132,MATCH(Sheet1!C131,$C$2:$C$1132,0)),"")</f>
        <v>85000</v>
      </c>
      <c r="M131" t="str">
        <f>IFERROR(INDEX($M$2:$M$1132,MATCH(B131,$B$2:$B$1132,0)),"")</f>
        <v>NETWORK SECURITY, ETHICAL HACKING, RISK ASSESSMENT</v>
      </c>
      <c r="N131" t="s">
        <v>74</v>
      </c>
      <c r="O131" t="s">
        <v>78</v>
      </c>
    </row>
    <row r="132" spans="1:15" x14ac:dyDescent="0.25">
      <c r="A132">
        <v>17980</v>
      </c>
      <c r="B132" t="s">
        <v>19</v>
      </c>
      <c r="C132" t="s">
        <v>23</v>
      </c>
      <c r="D132" t="str">
        <f>IFERROR(INDEX(Sheet2!$B$2:$B$1132,MATCH(Sheet1!C132,Sheet1!$C$2:$C$1132,0)),"IDK")</f>
        <v>IT</v>
      </c>
      <c r="E132" t="s">
        <v>48</v>
      </c>
      <c r="F132" t="s">
        <v>52</v>
      </c>
      <c r="G132" s="1">
        <v>45308</v>
      </c>
      <c r="H132" t="s">
        <v>57</v>
      </c>
      <c r="I132" s="3" t="s">
        <v>157</v>
      </c>
      <c r="J132" s="2" t="s">
        <v>158</v>
      </c>
      <c r="K132">
        <f>IFERROR(INDEX(Sheet2!$C$2:$C$1132,MATCH(Sheet1!C132,Sheet1!$C$2:$C$1132,0)),"")</f>
        <v>35000</v>
      </c>
      <c r="L132">
        <f>IFERROR(INDEX(Sheet2!$D$2:$D$1132,MATCH(Sheet1!C132,$C$2:$C$1132,0)),"")</f>
        <v>70000</v>
      </c>
      <c r="M132" t="str">
        <f>IFERROR(INDEX($M$2:$M$1132,MATCH(B132,$B$2:$B$1132,0)),"")</f>
        <v>NETWORK SECURITY, ETHICAL HACKING, RISK ASSESSMENT</v>
      </c>
      <c r="N132" t="s">
        <v>74</v>
      </c>
      <c r="O132" t="s">
        <v>79</v>
      </c>
    </row>
    <row r="133" spans="1:15" x14ac:dyDescent="0.25">
      <c r="A133">
        <v>17981</v>
      </c>
      <c r="B133" t="s">
        <v>19</v>
      </c>
      <c r="C133" t="s">
        <v>24</v>
      </c>
      <c r="D133" t="str">
        <f>IFERROR(INDEX(Sheet2!$B$2:$B$1132,MATCH(Sheet1!C133,Sheet1!$C$2:$C$1132,0)),"IDK")</f>
        <v>HEALTH</v>
      </c>
      <c r="E133" t="s">
        <v>48</v>
      </c>
      <c r="F133" t="s">
        <v>52</v>
      </c>
      <c r="G133" s="1">
        <v>45621</v>
      </c>
      <c r="H133" t="s">
        <v>57</v>
      </c>
      <c r="I133" s="3" t="s">
        <v>159</v>
      </c>
      <c r="J133" s="2" t="s">
        <v>160</v>
      </c>
      <c r="K133">
        <f>IFERROR(INDEX(Sheet2!$C$2:$C$1132,MATCH(Sheet1!C133,Sheet1!$C$2:$C$1132,0)),"")</f>
        <v>25000</v>
      </c>
      <c r="L133">
        <f>IFERROR(INDEX(Sheet2!$D$2:$D$1132,MATCH(Sheet1!C133,$C$2:$C$1132,0)),"")</f>
        <v>50000</v>
      </c>
      <c r="M133" t="str">
        <f>IFERROR(INDEX($M$2:$M$1132,MATCH(B133,$B$2:$B$1132,0)),"")</f>
        <v>NETWORK SECURITY, ETHICAL HACKING, RISK ASSESSMENT</v>
      </c>
      <c r="N133" t="s">
        <v>74</v>
      </c>
      <c r="O133" t="s">
        <v>37</v>
      </c>
    </row>
    <row r="134" spans="1:15" x14ac:dyDescent="0.25">
      <c r="A134">
        <v>17982</v>
      </c>
      <c r="B134" t="s">
        <v>19</v>
      </c>
      <c r="C134" t="s">
        <v>25</v>
      </c>
      <c r="D134" t="str">
        <f>IFERROR(INDEX(Sheet2!$B$2:$B$1132,MATCH(Sheet1!C134,Sheet1!$C$2:$C$1132,0)),"IDK")</f>
        <v>SOCIAL</v>
      </c>
      <c r="E134" t="s">
        <v>48</v>
      </c>
      <c r="F134" t="s">
        <v>52</v>
      </c>
      <c r="G134" s="1">
        <v>45568</v>
      </c>
      <c r="H134" t="s">
        <v>57</v>
      </c>
      <c r="I134" s="2" t="s">
        <v>149</v>
      </c>
      <c r="J134" s="2" t="s">
        <v>150</v>
      </c>
      <c r="K134">
        <f>IFERROR(INDEX(Sheet2!$C$2:$C$1132,MATCH(Sheet1!C134,Sheet1!$C$2:$C$1132,0)),"")</f>
        <v>30000</v>
      </c>
      <c r="L134">
        <f>IFERROR(INDEX(Sheet2!$D$2:$D$1132,MATCH(Sheet1!C134,$C$2:$C$1132,0)),"")</f>
        <v>60000</v>
      </c>
      <c r="M134" t="str">
        <f>IFERROR(INDEX($M$2:$M$1132,MATCH(B134,$B$2:$B$1132,0)),"")</f>
        <v>NETWORK SECURITY, ETHICAL HACKING, RISK ASSESSMENT</v>
      </c>
      <c r="N134" t="s">
        <v>74</v>
      </c>
      <c r="O134" t="s">
        <v>37</v>
      </c>
    </row>
    <row r="135" spans="1:15" x14ac:dyDescent="0.25">
      <c r="A135">
        <v>17983</v>
      </c>
      <c r="B135" t="s">
        <v>19</v>
      </c>
      <c r="C135" t="s">
        <v>26</v>
      </c>
      <c r="D135" t="str">
        <f>IFERROR(INDEX(Sheet2!$B$2:$B$1132,MATCH(Sheet1!C135,Sheet1!$C$2:$C$1132,0)),"IDK")</f>
        <v>FINANCE</v>
      </c>
      <c r="E135" t="s">
        <v>48</v>
      </c>
      <c r="F135" t="s">
        <v>52</v>
      </c>
      <c r="G135" s="1">
        <v>45650</v>
      </c>
      <c r="H135" t="s">
        <v>57</v>
      </c>
      <c r="I135" s="2" t="s">
        <v>149</v>
      </c>
      <c r="J135" s="2" t="s">
        <v>150</v>
      </c>
      <c r="K135">
        <f>IFERROR(INDEX(Sheet2!$C$2:$C$1132,MATCH(Sheet1!C135,Sheet1!$C$2:$C$1132,0)),"")</f>
        <v>35000</v>
      </c>
      <c r="L135">
        <f>IFERROR(INDEX(Sheet2!$D$2:$D$1132,MATCH(Sheet1!C135,$C$2:$C$1132,0)),"")</f>
        <v>75000</v>
      </c>
      <c r="M135" t="str">
        <f>IFERROR(INDEX($M$2:$M$1132,MATCH(B135,$B$2:$B$1132,0)),"")</f>
        <v>NETWORK SECURITY, ETHICAL HACKING, RISK ASSESSMENT</v>
      </c>
      <c r="N135" t="s">
        <v>74</v>
      </c>
      <c r="O135" t="s">
        <v>37</v>
      </c>
    </row>
    <row r="136" spans="1:15" x14ac:dyDescent="0.25">
      <c r="A136">
        <v>17984</v>
      </c>
      <c r="B136" t="s">
        <v>19</v>
      </c>
      <c r="C136" t="s">
        <v>27</v>
      </c>
      <c r="D136" t="str">
        <f>IFERROR(INDEX(Sheet2!$B$2:$B$1132,MATCH(Sheet1!C136,Sheet1!$C$2:$C$1132,0)),"IDK")</f>
        <v>IT</v>
      </c>
      <c r="E136" t="s">
        <v>48</v>
      </c>
      <c r="F136" t="s">
        <v>52</v>
      </c>
      <c r="G136" s="1">
        <v>45572</v>
      </c>
      <c r="H136" t="s">
        <v>57</v>
      </c>
      <c r="I136" s="2" t="s">
        <v>149</v>
      </c>
      <c r="J136" s="2" t="s">
        <v>150</v>
      </c>
      <c r="K136">
        <f>IFERROR(INDEX(Sheet2!$C$2:$C$1132,MATCH(Sheet1!C136,Sheet1!$C$2:$C$1132,0)),"")</f>
        <v>40000</v>
      </c>
      <c r="L136">
        <f>IFERROR(INDEX(Sheet2!$D$2:$D$1132,MATCH(Sheet1!C136,$C$2:$C$1132,0)),"")</f>
        <v>80000</v>
      </c>
      <c r="M136" t="str">
        <f>IFERROR(INDEX($M$2:$M$1132,MATCH(B136,$B$2:$B$1132,0)),"")</f>
        <v>NETWORK SECURITY, ETHICAL HACKING, RISK ASSESSMENT</v>
      </c>
      <c r="N136" t="s">
        <v>74</v>
      </c>
      <c r="O136" t="s">
        <v>37</v>
      </c>
    </row>
    <row r="137" spans="1:15" x14ac:dyDescent="0.25">
      <c r="A137">
        <v>17985</v>
      </c>
      <c r="B137" t="s">
        <v>19</v>
      </c>
      <c r="C137" t="s">
        <v>28</v>
      </c>
      <c r="D137" t="str">
        <f>IFERROR(INDEX(Sheet2!$B$2:$B$1132,MATCH(Sheet1!C137,Sheet1!$C$2:$C$1132,0)),"IDK")</f>
        <v>IT</v>
      </c>
      <c r="E137" t="s">
        <v>48</v>
      </c>
      <c r="F137" t="s">
        <v>52</v>
      </c>
      <c r="G137" s="1">
        <v>45418</v>
      </c>
      <c r="H137" t="s">
        <v>57</v>
      </c>
      <c r="I137" s="2" t="s">
        <v>149</v>
      </c>
      <c r="J137" s="2" t="s">
        <v>150</v>
      </c>
      <c r="K137">
        <f>IFERROR(INDEX(Sheet2!$C$2:$C$1132,MATCH(Sheet1!C137,Sheet1!$C$2:$C$1132,0)),"")</f>
        <v>30000</v>
      </c>
      <c r="L137">
        <f>IFERROR(INDEX(Sheet2!$D$2:$D$1132,MATCH(Sheet1!C137,$C$2:$C$1132,0)),"")</f>
        <v>55000</v>
      </c>
      <c r="M137" t="str">
        <f>IFERROR(INDEX($M$2:$M$1132,MATCH(B137,$B$2:$B$1132,0)),"")</f>
        <v>NETWORK SECURITY, ETHICAL HACKING, RISK ASSESSMENT</v>
      </c>
      <c r="N137" t="s">
        <v>74</v>
      </c>
      <c r="O137" t="s">
        <v>37</v>
      </c>
    </row>
    <row r="138" spans="1:15" x14ac:dyDescent="0.25">
      <c r="A138">
        <v>17986</v>
      </c>
      <c r="B138" t="s">
        <v>19</v>
      </c>
      <c r="C138" t="s">
        <v>29</v>
      </c>
      <c r="D138" t="str">
        <f>IFERROR(INDEX(Sheet2!$B$2:$B$1132,MATCH(Sheet1!C138,Sheet1!$C$2:$C$1132,0)),"IDK")</f>
        <v>IT</v>
      </c>
      <c r="E138" t="s">
        <v>48</v>
      </c>
      <c r="F138" t="s">
        <v>52</v>
      </c>
      <c r="G138" s="1">
        <v>45335</v>
      </c>
      <c r="H138" t="s">
        <v>57</v>
      </c>
      <c r="I138" s="2" t="s">
        <v>149</v>
      </c>
      <c r="J138" s="2" t="s">
        <v>150</v>
      </c>
      <c r="K138">
        <f>IFERROR(INDEX(Sheet2!$C$2:$C$1132,MATCH(Sheet1!C138,Sheet1!$C$2:$C$1132,0)),"")</f>
        <v>35000</v>
      </c>
      <c r="L138">
        <f>IFERROR(INDEX(Sheet2!$D$2:$D$1132,MATCH(Sheet1!C138,$C$2:$C$1132,0)),"")</f>
        <v>70000</v>
      </c>
      <c r="M138" t="str">
        <f>IFERROR(INDEX($M$2:$M$1132,MATCH(B138,$B$2:$B$1132,0)),"")</f>
        <v>NETWORK SECURITY, ETHICAL HACKING, RISK ASSESSMENT</v>
      </c>
      <c r="N138" t="s">
        <v>74</v>
      </c>
      <c r="O138" t="s">
        <v>77</v>
      </c>
    </row>
    <row r="139" spans="1:15" x14ac:dyDescent="0.25">
      <c r="A139">
        <v>17987</v>
      </c>
      <c r="B139" t="s">
        <v>19</v>
      </c>
      <c r="C139" t="s">
        <v>23</v>
      </c>
      <c r="D139" t="str">
        <f>IFERROR(INDEX(Sheet2!$B$2:$B$1132,MATCH(Sheet1!C139,Sheet1!$C$2:$C$1132,0)),"IDK")</f>
        <v>IT</v>
      </c>
      <c r="E139" t="s">
        <v>48</v>
      </c>
      <c r="F139" t="s">
        <v>52</v>
      </c>
      <c r="G139" s="1">
        <v>45600</v>
      </c>
      <c r="H139" t="s">
        <v>57</v>
      </c>
      <c r="I139" s="2" t="s">
        <v>149</v>
      </c>
      <c r="J139" s="2" t="s">
        <v>150</v>
      </c>
      <c r="K139">
        <f>IFERROR(INDEX(Sheet2!$C$2:$C$1132,MATCH(Sheet1!C139,Sheet1!$C$2:$C$1132,0)),"")</f>
        <v>35000</v>
      </c>
      <c r="L139">
        <f>IFERROR(INDEX(Sheet2!$D$2:$D$1132,MATCH(Sheet1!C139,$C$2:$C$1132,0)),"")</f>
        <v>70000</v>
      </c>
      <c r="M139" t="str">
        <f>IFERROR(INDEX($M$2:$M$1132,MATCH(B139,$B$2:$B$1132,0)),"")</f>
        <v>NETWORK SECURITY, ETHICAL HACKING, RISK ASSESSMENT</v>
      </c>
      <c r="N139" t="s">
        <v>74</v>
      </c>
      <c r="O139" t="s">
        <v>77</v>
      </c>
    </row>
    <row r="140" spans="1:15" x14ac:dyDescent="0.25">
      <c r="A140">
        <v>17988</v>
      </c>
      <c r="B140" t="s">
        <v>19</v>
      </c>
      <c r="C140" t="s">
        <v>30</v>
      </c>
      <c r="D140" t="str">
        <f>IFERROR(INDEX(Sheet2!$B$2:$B$1132,MATCH(Sheet1!C140,Sheet1!$C$2:$C$1132,0)),"IDK")</f>
        <v>IT</v>
      </c>
      <c r="E140" t="s">
        <v>48</v>
      </c>
      <c r="F140" t="s">
        <v>52</v>
      </c>
      <c r="G140" s="1">
        <v>45589</v>
      </c>
      <c r="H140" t="s">
        <v>57</v>
      </c>
      <c r="I140" s="2" t="s">
        <v>159</v>
      </c>
      <c r="J140" s="2" t="s">
        <v>160</v>
      </c>
      <c r="K140">
        <f>IFERROR(INDEX(Sheet2!$C$2:$C$1132,MATCH(Sheet1!C140,Sheet1!$C$2:$C$1132,0)),"")</f>
        <v>25000</v>
      </c>
      <c r="L140">
        <f>IFERROR(INDEX(Sheet2!$D$2:$D$1132,MATCH(Sheet1!C140,$C$2:$C$1132,0)),"")</f>
        <v>60000</v>
      </c>
      <c r="M140" t="str">
        <f>IFERROR(INDEX($M$2:$M$1132,MATCH(B140,$B$2:$B$1132,0)),"")</f>
        <v>NETWORK SECURITY, ETHICAL HACKING, RISK ASSESSMENT</v>
      </c>
      <c r="N140" t="s">
        <v>74</v>
      </c>
      <c r="O140" t="s">
        <v>77</v>
      </c>
    </row>
    <row r="141" spans="1:15" x14ac:dyDescent="0.25">
      <c r="A141">
        <v>17989</v>
      </c>
      <c r="B141" t="s">
        <v>19</v>
      </c>
      <c r="C141" t="s">
        <v>31</v>
      </c>
      <c r="D141" t="str">
        <f>IFERROR(INDEX(Sheet2!$B$2:$B$1132,MATCH(Sheet1!C141,Sheet1!$C$2:$C$1132,0)),"IDK")</f>
        <v>IT</v>
      </c>
      <c r="E141" t="s">
        <v>48</v>
      </c>
      <c r="F141" t="s">
        <v>52</v>
      </c>
      <c r="G141" s="1">
        <v>45619</v>
      </c>
      <c r="H141" t="s">
        <v>57</v>
      </c>
      <c r="I141" s="2" t="s">
        <v>159</v>
      </c>
      <c r="J141" s="2" t="s">
        <v>160</v>
      </c>
      <c r="K141">
        <f>IFERROR(INDEX(Sheet2!$C$2:$C$1132,MATCH(Sheet1!C141,Sheet1!$C$2:$C$1132,0)),"")</f>
        <v>25000</v>
      </c>
      <c r="L141">
        <f>IFERROR(INDEX(Sheet2!$D$2:$D$1132,MATCH(Sheet1!C141,$C$2:$C$1132,0)),"")</f>
        <v>75000</v>
      </c>
      <c r="M141" t="str">
        <f>IFERROR(INDEX($M$2:$M$1132,MATCH(B141,$B$2:$B$1132,0)),"")</f>
        <v>NETWORK SECURITY, ETHICAL HACKING, RISK ASSESSMENT</v>
      </c>
      <c r="N141" t="s">
        <v>74</v>
      </c>
      <c r="O141" t="s">
        <v>77</v>
      </c>
    </row>
    <row r="142" spans="1:15" x14ac:dyDescent="0.25">
      <c r="A142">
        <v>17990</v>
      </c>
      <c r="B142" t="s">
        <v>19</v>
      </c>
      <c r="C142" t="s">
        <v>32</v>
      </c>
      <c r="D142" t="str">
        <f>IFERROR(INDEX(Sheet2!$B$2:$B$1132,MATCH(Sheet1!C142,Sheet1!$C$2:$C$1132,0)),"IDK")</f>
        <v>SOCIAL</v>
      </c>
      <c r="E142" t="s">
        <v>48</v>
      </c>
      <c r="F142" t="s">
        <v>52</v>
      </c>
      <c r="G142" s="1">
        <v>45589</v>
      </c>
      <c r="H142" t="s">
        <v>57</v>
      </c>
      <c r="I142" s="2" t="s">
        <v>159</v>
      </c>
      <c r="J142" s="2" t="s">
        <v>160</v>
      </c>
      <c r="K142">
        <f>IFERROR(INDEX(Sheet2!$C$2:$C$1132,MATCH(Sheet1!C142,Sheet1!$C$2:$C$1132,0)),"")</f>
        <v>20000</v>
      </c>
      <c r="L142">
        <f>IFERROR(INDEX(Sheet2!$D$2:$D$1132,MATCH(Sheet1!C142,$C$2:$C$1132,0)),"")</f>
        <v>70000</v>
      </c>
      <c r="M142" t="str">
        <f>IFERROR(INDEX($M$2:$M$1132,MATCH(B142,$B$2:$B$1132,0)),"")</f>
        <v>NETWORK SECURITY, ETHICAL HACKING, RISK ASSESSMENT</v>
      </c>
      <c r="N142" t="s">
        <v>74</v>
      </c>
      <c r="O142" t="s">
        <v>77</v>
      </c>
    </row>
    <row r="143" spans="1:15" x14ac:dyDescent="0.25">
      <c r="A143">
        <v>17991</v>
      </c>
      <c r="B143" t="s">
        <v>19</v>
      </c>
      <c r="C143" t="s">
        <v>33</v>
      </c>
      <c r="D143" t="str">
        <f>IFERROR(INDEX(Sheet2!$B$2:$B$1132,MATCH(Sheet1!C143,Sheet1!$C$2:$C$1132,0)),"IDK")</f>
        <v>FINANCE</v>
      </c>
      <c r="E143" t="s">
        <v>48</v>
      </c>
      <c r="F143" t="s">
        <v>54</v>
      </c>
      <c r="G143" s="1">
        <v>45606</v>
      </c>
      <c r="H143" t="s">
        <v>57</v>
      </c>
      <c r="I143" s="2" t="s">
        <v>159</v>
      </c>
      <c r="J143" s="2" t="s">
        <v>160</v>
      </c>
      <c r="K143">
        <f>IFERROR(INDEX(Sheet2!$C$2:$C$1132,MATCH(Sheet1!C143,Sheet1!$C$2:$C$1132,0)),"")</f>
        <v>40000</v>
      </c>
      <c r="L143">
        <f>IFERROR(INDEX(Sheet2!$D$2:$D$1132,MATCH(Sheet1!C143,$C$2:$C$1132,0)),"")</f>
        <v>85000</v>
      </c>
      <c r="M143" t="str">
        <f>IFERROR(INDEX($M$2:$M$1132,MATCH(B143,$B$2:$B$1132,0)),"")</f>
        <v>NETWORK SECURITY, ETHICAL HACKING, RISK ASSESSMENT</v>
      </c>
      <c r="N143" t="s">
        <v>74</v>
      </c>
      <c r="O143" t="s">
        <v>78</v>
      </c>
    </row>
    <row r="144" spans="1:15" x14ac:dyDescent="0.25">
      <c r="A144">
        <v>17992</v>
      </c>
      <c r="B144" t="s">
        <v>19</v>
      </c>
      <c r="C144" t="s">
        <v>24</v>
      </c>
      <c r="D144" t="str">
        <f>IFERROR(INDEX(Sheet2!$B$2:$B$1132,MATCH(Sheet1!C144,Sheet1!$C$2:$C$1132,0)),"IDK")</f>
        <v>HEALTH</v>
      </c>
      <c r="E144" t="s">
        <v>48</v>
      </c>
      <c r="F144" t="s">
        <v>54</v>
      </c>
      <c r="G144" s="1">
        <v>45654</v>
      </c>
      <c r="H144" t="s">
        <v>57</v>
      </c>
      <c r="I144" s="2" t="s">
        <v>151</v>
      </c>
      <c r="J144" s="2" t="s">
        <v>152</v>
      </c>
      <c r="K144">
        <f>IFERROR(INDEX(Sheet2!$C$2:$C$1132,MATCH(Sheet1!C144,Sheet1!$C$2:$C$1132,0)),"")</f>
        <v>25000</v>
      </c>
      <c r="L144">
        <f>IFERROR(INDEX(Sheet2!$D$2:$D$1132,MATCH(Sheet1!C144,$C$2:$C$1132,0)),"")</f>
        <v>50000</v>
      </c>
      <c r="M144" t="str">
        <f>IFERROR(INDEX($M$2:$M$1132,MATCH(B144,$B$2:$B$1132,0)),"")</f>
        <v>NETWORK SECURITY, ETHICAL HACKING, RISK ASSESSMENT</v>
      </c>
      <c r="N144" t="s">
        <v>74</v>
      </c>
      <c r="O144" t="s">
        <v>78</v>
      </c>
    </row>
    <row r="145" spans="1:15" x14ac:dyDescent="0.25">
      <c r="A145">
        <v>17993</v>
      </c>
      <c r="B145" t="s">
        <v>19</v>
      </c>
      <c r="C145" t="s">
        <v>25</v>
      </c>
      <c r="D145" t="str">
        <f>IFERROR(INDEX(Sheet2!$B$2:$B$1132,MATCH(Sheet1!C145,Sheet1!$C$2:$C$1132,0)),"IDK")</f>
        <v>SOCIAL</v>
      </c>
      <c r="E145" t="s">
        <v>48</v>
      </c>
      <c r="F145" t="s">
        <v>54</v>
      </c>
      <c r="G145" s="1">
        <v>45510</v>
      </c>
      <c r="H145" t="s">
        <v>57</v>
      </c>
      <c r="I145" s="2" t="s">
        <v>151</v>
      </c>
      <c r="J145" s="2" t="s">
        <v>152</v>
      </c>
      <c r="K145">
        <f>IFERROR(INDEX(Sheet2!$C$2:$C$1132,MATCH(Sheet1!C145,Sheet1!$C$2:$C$1132,0)),"")</f>
        <v>30000</v>
      </c>
      <c r="L145">
        <f>IFERROR(INDEX(Sheet2!$D$2:$D$1132,MATCH(Sheet1!C145,$C$2:$C$1132,0)),"")</f>
        <v>60000</v>
      </c>
      <c r="M145" t="str">
        <f>IFERROR(INDEX($M$2:$M$1132,MATCH(B145,$B$2:$B$1132,0)),"")</f>
        <v>NETWORK SECURITY, ETHICAL HACKING, RISK ASSESSMENT</v>
      </c>
      <c r="N145" t="s">
        <v>74</v>
      </c>
      <c r="O145" t="s">
        <v>78</v>
      </c>
    </row>
    <row r="146" spans="1:15" x14ac:dyDescent="0.25">
      <c r="A146">
        <v>17994</v>
      </c>
      <c r="B146" t="s">
        <v>19</v>
      </c>
      <c r="C146" t="s">
        <v>26</v>
      </c>
      <c r="D146" t="str">
        <f>IFERROR(INDEX(Sheet2!$B$2:$B$1132,MATCH(Sheet1!C146,Sheet1!$C$2:$C$1132,0)),"IDK")</f>
        <v>FINANCE</v>
      </c>
      <c r="E146" t="s">
        <v>48</v>
      </c>
      <c r="F146" t="s">
        <v>54</v>
      </c>
      <c r="G146" s="1">
        <v>45397</v>
      </c>
      <c r="H146" t="s">
        <v>57</v>
      </c>
      <c r="I146" s="2" t="s">
        <v>151</v>
      </c>
      <c r="J146" s="2" t="s">
        <v>152</v>
      </c>
      <c r="K146">
        <f>IFERROR(INDEX(Sheet2!$C$2:$C$1132,MATCH(Sheet1!C146,Sheet1!$C$2:$C$1132,0)),"")</f>
        <v>35000</v>
      </c>
      <c r="L146">
        <f>IFERROR(INDEX(Sheet2!$D$2:$D$1132,MATCH(Sheet1!C146,$C$2:$C$1132,0)),"")</f>
        <v>75000</v>
      </c>
      <c r="M146" t="str">
        <f>IFERROR(INDEX($M$2:$M$1132,MATCH(B146,$B$2:$B$1132,0)),"")</f>
        <v>NETWORK SECURITY, ETHICAL HACKING, RISK ASSESSMENT</v>
      </c>
      <c r="N146" t="s">
        <v>74</v>
      </c>
      <c r="O146" t="s">
        <v>78</v>
      </c>
    </row>
    <row r="147" spans="1:15" x14ac:dyDescent="0.25">
      <c r="A147">
        <v>17995</v>
      </c>
      <c r="B147" t="s">
        <v>19</v>
      </c>
      <c r="C147" t="s">
        <v>27</v>
      </c>
      <c r="D147" t="str">
        <f>IFERROR(INDEX(Sheet2!$B$2:$B$1132,MATCH(Sheet1!C147,Sheet1!$C$2:$C$1132,0)),"IDK")</f>
        <v>IT</v>
      </c>
      <c r="E147" t="s">
        <v>48</v>
      </c>
      <c r="F147" t="s">
        <v>54</v>
      </c>
      <c r="G147" s="1">
        <v>45605</v>
      </c>
      <c r="H147" t="s">
        <v>57</v>
      </c>
      <c r="I147" s="2" t="s">
        <v>153</v>
      </c>
      <c r="J147" s="2" t="s">
        <v>154</v>
      </c>
      <c r="K147">
        <f>IFERROR(INDEX(Sheet2!$C$2:$C$1132,MATCH(Sheet1!C147,Sheet1!$C$2:$C$1132,0)),"")</f>
        <v>40000</v>
      </c>
      <c r="L147">
        <f>IFERROR(INDEX(Sheet2!$D$2:$D$1132,MATCH(Sheet1!C147,$C$2:$C$1132,0)),"")</f>
        <v>80000</v>
      </c>
      <c r="M147" t="str">
        <f>IFERROR(INDEX($M$2:$M$1132,MATCH(B147,$B$2:$B$1132,0)),"")</f>
        <v>NETWORK SECURITY, ETHICAL HACKING, RISK ASSESSMENT</v>
      </c>
      <c r="N147" t="s">
        <v>74</v>
      </c>
      <c r="O147" t="s">
        <v>78</v>
      </c>
    </row>
    <row r="148" spans="1:15" x14ac:dyDescent="0.25">
      <c r="A148">
        <v>17996</v>
      </c>
      <c r="B148" t="s">
        <v>19</v>
      </c>
      <c r="C148" t="s">
        <v>28</v>
      </c>
      <c r="D148" t="str">
        <f>IFERROR(INDEX(Sheet2!$B$2:$B$1132,MATCH(Sheet1!C148,Sheet1!$C$2:$C$1132,0)),"IDK")</f>
        <v>IT</v>
      </c>
      <c r="E148" t="s">
        <v>48</v>
      </c>
      <c r="F148" t="s">
        <v>54</v>
      </c>
      <c r="G148" s="1">
        <v>45640</v>
      </c>
      <c r="H148" t="s">
        <v>57</v>
      </c>
      <c r="I148" s="3" t="s">
        <v>155</v>
      </c>
      <c r="J148" s="2" t="s">
        <v>156</v>
      </c>
      <c r="K148">
        <f>IFERROR(INDEX(Sheet2!$C$2:$C$1132,MATCH(Sheet1!C148,Sheet1!$C$2:$C$1132,0)),"")</f>
        <v>30000</v>
      </c>
      <c r="L148">
        <f>IFERROR(INDEX(Sheet2!$D$2:$D$1132,MATCH(Sheet1!C148,$C$2:$C$1132,0)),"")</f>
        <v>55000</v>
      </c>
      <c r="M148" t="str">
        <f>IFERROR(INDEX($M$2:$M$1132,MATCH(B148,$B$2:$B$1132,0)),"")</f>
        <v>NETWORK SECURITY, ETHICAL HACKING, RISK ASSESSMENT</v>
      </c>
      <c r="N148" t="s">
        <v>74</v>
      </c>
      <c r="O148" t="s">
        <v>78</v>
      </c>
    </row>
    <row r="149" spans="1:15" x14ac:dyDescent="0.25">
      <c r="A149">
        <v>17997</v>
      </c>
      <c r="B149" t="s">
        <v>19</v>
      </c>
      <c r="C149" t="s">
        <v>29</v>
      </c>
      <c r="D149" t="str">
        <f>IFERROR(INDEX(Sheet2!$B$2:$B$1132,MATCH(Sheet1!C149,Sheet1!$C$2:$C$1132,0)),"IDK")</f>
        <v>IT</v>
      </c>
      <c r="E149" t="s">
        <v>48</v>
      </c>
      <c r="F149" t="s">
        <v>54</v>
      </c>
      <c r="G149" s="1">
        <v>45380</v>
      </c>
      <c r="H149" t="s">
        <v>57</v>
      </c>
      <c r="I149" s="3" t="s">
        <v>157</v>
      </c>
      <c r="J149" s="2" t="s">
        <v>158</v>
      </c>
      <c r="K149">
        <f>IFERROR(INDEX(Sheet2!$C$2:$C$1132,MATCH(Sheet1!C149,Sheet1!$C$2:$C$1132,0)),"")</f>
        <v>35000</v>
      </c>
      <c r="L149">
        <f>IFERROR(INDEX(Sheet2!$D$2:$D$1132,MATCH(Sheet1!C149,$C$2:$C$1132,0)),"")</f>
        <v>70000</v>
      </c>
      <c r="M149" t="str">
        <f>IFERROR(INDEX($M$2:$M$1132,MATCH(B149,$B$2:$B$1132,0)),"")</f>
        <v>NETWORK SECURITY, ETHICAL HACKING, RISK ASSESSMENT</v>
      </c>
      <c r="N149" t="s">
        <v>74</v>
      </c>
      <c r="O149" t="s">
        <v>79</v>
      </c>
    </row>
    <row r="150" spans="1:15" x14ac:dyDescent="0.25">
      <c r="A150">
        <v>17998</v>
      </c>
      <c r="B150" t="s">
        <v>19</v>
      </c>
      <c r="C150" t="s">
        <v>23</v>
      </c>
      <c r="D150" t="str">
        <f>IFERROR(INDEX(Sheet2!$B$2:$B$1132,MATCH(Sheet1!C150,Sheet1!$C$2:$C$1132,0)),"IDK")</f>
        <v>IT</v>
      </c>
      <c r="E150" t="s">
        <v>48</v>
      </c>
      <c r="F150" t="s">
        <v>54</v>
      </c>
      <c r="G150" s="1">
        <v>45400</v>
      </c>
      <c r="H150" t="s">
        <v>57</v>
      </c>
      <c r="I150" s="2" t="s">
        <v>153</v>
      </c>
      <c r="J150" s="2" t="s">
        <v>154</v>
      </c>
      <c r="K150">
        <f>IFERROR(INDEX(Sheet2!$C$2:$C$1132,MATCH(Sheet1!C150,Sheet1!$C$2:$C$1132,0)),"")</f>
        <v>35000</v>
      </c>
      <c r="L150">
        <f>IFERROR(INDEX(Sheet2!$D$2:$D$1132,MATCH(Sheet1!C150,$C$2:$C$1132,0)),"")</f>
        <v>70000</v>
      </c>
      <c r="M150" t="str">
        <f>IFERROR(INDEX($M$2:$M$1132,MATCH(B150,$B$2:$B$1132,0)),"")</f>
        <v>NETWORK SECURITY, ETHICAL HACKING, RISK ASSESSMENT</v>
      </c>
      <c r="N150" t="s">
        <v>74</v>
      </c>
      <c r="O150" t="s">
        <v>79</v>
      </c>
    </row>
    <row r="151" spans="1:15" x14ac:dyDescent="0.25">
      <c r="A151">
        <v>17999</v>
      </c>
      <c r="B151" t="s">
        <v>19</v>
      </c>
      <c r="C151" t="s">
        <v>30</v>
      </c>
      <c r="D151" t="str">
        <f>IFERROR(INDEX(Sheet2!$B$2:$B$1132,MATCH(Sheet1!C151,Sheet1!$C$2:$C$1132,0)),"IDK")</f>
        <v>IT</v>
      </c>
      <c r="E151" t="s">
        <v>48</v>
      </c>
      <c r="F151" t="s">
        <v>54</v>
      </c>
      <c r="G151" s="1">
        <v>45422</v>
      </c>
      <c r="H151" t="s">
        <v>57</v>
      </c>
      <c r="I151" s="2" t="s">
        <v>153</v>
      </c>
      <c r="J151" s="2" t="s">
        <v>154</v>
      </c>
      <c r="K151">
        <f>IFERROR(INDEX(Sheet2!$C$2:$C$1132,MATCH(Sheet1!C151,Sheet1!$C$2:$C$1132,0)),"")</f>
        <v>25000</v>
      </c>
      <c r="L151">
        <f>IFERROR(INDEX(Sheet2!$D$2:$D$1132,MATCH(Sheet1!C151,$C$2:$C$1132,0)),"")</f>
        <v>60000</v>
      </c>
      <c r="M151" t="str">
        <f>IFERROR(INDEX($M$2:$M$1132,MATCH(B151,$B$2:$B$1132,0)),"")</f>
        <v>NETWORK SECURITY, ETHICAL HACKING, RISK ASSESSMENT</v>
      </c>
      <c r="N151" t="s">
        <v>74</v>
      </c>
      <c r="O151" t="s">
        <v>79</v>
      </c>
    </row>
    <row r="152" spans="1:15" x14ac:dyDescent="0.25">
      <c r="A152">
        <v>18000</v>
      </c>
      <c r="B152" t="s">
        <v>19</v>
      </c>
      <c r="C152" t="s">
        <v>31</v>
      </c>
      <c r="D152" t="str">
        <f>IFERROR(INDEX(Sheet2!$B$2:$B$1132,MATCH(Sheet1!C152,Sheet1!$C$2:$C$1132,0)),"IDK")</f>
        <v>IT</v>
      </c>
      <c r="E152" t="s">
        <v>48</v>
      </c>
      <c r="F152" t="s">
        <v>54</v>
      </c>
      <c r="G152" s="1">
        <v>45508</v>
      </c>
      <c r="H152" t="s">
        <v>57</v>
      </c>
      <c r="I152" s="2" t="s">
        <v>155</v>
      </c>
      <c r="J152" s="2" t="s">
        <v>156</v>
      </c>
      <c r="K152">
        <f>IFERROR(INDEX(Sheet2!$C$2:$C$1132,MATCH(Sheet1!C152,Sheet1!$C$2:$C$1132,0)),"")</f>
        <v>25000</v>
      </c>
      <c r="L152">
        <f>IFERROR(INDEX(Sheet2!$D$2:$D$1132,MATCH(Sheet1!C152,$C$2:$C$1132,0)),"")</f>
        <v>75000</v>
      </c>
      <c r="M152" t="str">
        <f>IFERROR(INDEX($M$2:$M$1132,MATCH(B152,$B$2:$B$1132,0)),"")</f>
        <v>NETWORK SECURITY, ETHICAL HACKING, RISK ASSESSMENT</v>
      </c>
      <c r="N152" t="s">
        <v>74</v>
      </c>
      <c r="O152" t="s">
        <v>79</v>
      </c>
    </row>
    <row r="153" spans="1:15" x14ac:dyDescent="0.25">
      <c r="A153">
        <v>18001</v>
      </c>
      <c r="B153" t="s">
        <v>19</v>
      </c>
      <c r="C153" t="s">
        <v>32</v>
      </c>
      <c r="D153" t="str">
        <f>IFERROR(INDEX(Sheet2!$B$2:$B$1132,MATCH(Sheet1!C153,Sheet1!$C$2:$C$1132,0)),"IDK")</f>
        <v>SOCIAL</v>
      </c>
      <c r="E153" t="s">
        <v>48</v>
      </c>
      <c r="F153" t="s">
        <v>54</v>
      </c>
      <c r="G153" s="1">
        <v>45584</v>
      </c>
      <c r="H153" t="s">
        <v>57</v>
      </c>
      <c r="I153" s="2" t="s">
        <v>155</v>
      </c>
      <c r="J153" s="2" t="s">
        <v>156</v>
      </c>
      <c r="K153">
        <f>IFERROR(INDEX(Sheet2!$C$2:$C$1132,MATCH(Sheet1!C153,Sheet1!$C$2:$C$1132,0)),"")</f>
        <v>20000</v>
      </c>
      <c r="L153">
        <f>IFERROR(INDEX(Sheet2!$D$2:$D$1132,MATCH(Sheet1!C153,$C$2:$C$1132,0)),"")</f>
        <v>70000</v>
      </c>
      <c r="M153" t="str">
        <f>IFERROR(INDEX($M$2:$M$1132,MATCH(B153,$B$2:$B$1132,0)),"")</f>
        <v>NETWORK SECURITY, ETHICAL HACKING, RISK ASSESSMENT</v>
      </c>
      <c r="N153" t="s">
        <v>74</v>
      </c>
      <c r="O153" t="s">
        <v>79</v>
      </c>
    </row>
    <row r="154" spans="1:15" x14ac:dyDescent="0.25">
      <c r="A154">
        <v>18002</v>
      </c>
      <c r="B154" t="s">
        <v>14</v>
      </c>
      <c r="C154" t="s">
        <v>33</v>
      </c>
      <c r="D154" t="str">
        <f>IFERROR(INDEX(Sheet2!$B$2:$B$1132,MATCH(Sheet1!C154,Sheet1!$C$2:$C$1132,0)),"IDK")</f>
        <v>FINANCE</v>
      </c>
      <c r="E154" t="s">
        <v>48</v>
      </c>
      <c r="F154" t="s">
        <v>54</v>
      </c>
      <c r="G154" s="1">
        <v>45618</v>
      </c>
      <c r="H154" t="s">
        <v>57</v>
      </c>
      <c r="I154" s="2" t="s">
        <v>155</v>
      </c>
      <c r="J154" s="2" t="s">
        <v>156</v>
      </c>
      <c r="K154">
        <f>IFERROR(INDEX(Sheet2!$C$2:$C$1132,MATCH(Sheet1!C154,Sheet1!$C$2:$C$1132,0)),"")</f>
        <v>40000</v>
      </c>
      <c r="L154">
        <f>IFERROR(INDEX(Sheet2!$D$2:$D$1132,MATCH(Sheet1!C154,$C$2:$C$1132,0)),"")</f>
        <v>85000</v>
      </c>
      <c r="M154" t="str">
        <f>IFERROR(INDEX($M$2:$M$1132,MATCH(B154,$B$2:$B$1132,0)),"")</f>
        <v>SQL, EXCEL, POWERBI, TABLEAU</v>
      </c>
      <c r="N154" t="s">
        <v>74</v>
      </c>
      <c r="O154" t="s">
        <v>80</v>
      </c>
    </row>
    <row r="155" spans="1:15" x14ac:dyDescent="0.25">
      <c r="A155">
        <v>18003</v>
      </c>
      <c r="B155" t="s">
        <v>14</v>
      </c>
      <c r="C155" t="s">
        <v>34</v>
      </c>
      <c r="D155" t="str">
        <f>IFERROR(INDEX(Sheet2!$B$2:$B$1132,MATCH(Sheet1!C155,Sheet1!$C$2:$C$1132,0)),"IDK")</f>
        <v>IT</v>
      </c>
      <c r="E155" t="s">
        <v>48</v>
      </c>
      <c r="F155" t="s">
        <v>54</v>
      </c>
      <c r="G155" s="1">
        <v>45362</v>
      </c>
      <c r="H155" t="s">
        <v>57</v>
      </c>
      <c r="I155" s="2" t="s">
        <v>153</v>
      </c>
      <c r="J155" s="2" t="s">
        <v>154</v>
      </c>
      <c r="K155">
        <f>IFERROR(INDEX(Sheet2!$C$2:$C$1132,MATCH(Sheet1!C155,Sheet1!$C$2:$C$1132,0)),"")</f>
        <v>35000</v>
      </c>
      <c r="L155">
        <f>IFERROR(INDEX(Sheet2!$D$2:$D$1132,MATCH(Sheet1!C155,$C$2:$C$1132,0)),"")</f>
        <v>90000</v>
      </c>
      <c r="M155" t="str">
        <f>IFERROR(INDEX($M$2:$M$1132,MATCH(B155,$B$2:$B$1132,0)),"")</f>
        <v>SQL, EXCEL, POWERBI, TABLEAU</v>
      </c>
      <c r="N155" t="s">
        <v>74</v>
      </c>
      <c r="O155" t="s">
        <v>80</v>
      </c>
    </row>
    <row r="156" spans="1:15" x14ac:dyDescent="0.25">
      <c r="A156">
        <v>18004</v>
      </c>
      <c r="B156" t="s">
        <v>14</v>
      </c>
      <c r="C156" t="s">
        <v>35</v>
      </c>
      <c r="D156" t="str">
        <f>IFERROR(INDEX(Sheet2!$B$2:$B$1132,MATCH(Sheet1!C156,Sheet1!$C$2:$C$1132,0)),"IDK")</f>
        <v>SOCIAL</v>
      </c>
      <c r="E156" t="s">
        <v>48</v>
      </c>
      <c r="F156" t="s">
        <v>54</v>
      </c>
      <c r="G156" s="1">
        <v>45630</v>
      </c>
      <c r="H156" t="s">
        <v>57</v>
      </c>
      <c r="I156" s="3" t="s">
        <v>155</v>
      </c>
      <c r="J156" s="2" t="s">
        <v>156</v>
      </c>
      <c r="K156">
        <f>IFERROR(INDEX(Sheet2!$C$2:$C$1132,MATCH(Sheet1!C156,Sheet1!$C$2:$C$1132,0)),"")</f>
        <v>30000</v>
      </c>
      <c r="L156">
        <f>IFERROR(INDEX(Sheet2!$D$2:$D$1132,MATCH(Sheet1!C156,$C$2:$C$1132,0)),"")</f>
        <v>95000</v>
      </c>
      <c r="M156" t="str">
        <f>IFERROR(INDEX($M$2:$M$1132,MATCH(B156,$B$2:$B$1132,0)),"")</f>
        <v>SQL, EXCEL, POWERBI, TABLEAU</v>
      </c>
      <c r="N156" t="s">
        <v>74</v>
      </c>
      <c r="O156" t="s">
        <v>80</v>
      </c>
    </row>
    <row r="157" spans="1:15" x14ac:dyDescent="0.25">
      <c r="A157">
        <v>18005</v>
      </c>
      <c r="B157" t="s">
        <v>14</v>
      </c>
      <c r="C157" t="s">
        <v>36</v>
      </c>
      <c r="D157" t="str">
        <f>IFERROR(INDEX(Sheet2!$B$2:$B$1132,MATCH(Sheet1!C157,Sheet1!$C$2:$C$1132,0)),"IDK")</f>
        <v>IT</v>
      </c>
      <c r="E157" t="s">
        <v>48</v>
      </c>
      <c r="F157" t="s">
        <v>54</v>
      </c>
      <c r="G157" s="1">
        <v>45634</v>
      </c>
      <c r="H157" t="s">
        <v>57</v>
      </c>
      <c r="I157" s="3" t="s">
        <v>157</v>
      </c>
      <c r="J157" s="2" t="s">
        <v>158</v>
      </c>
      <c r="K157">
        <f>IFERROR(INDEX(Sheet2!$C$2:$C$1132,MATCH(Sheet1!C157,Sheet1!$C$2:$C$1132,0)),"")</f>
        <v>50000</v>
      </c>
      <c r="L157">
        <f>IFERROR(INDEX(Sheet2!$D$2:$D$1132,MATCH(Sheet1!C157,$C$2:$C$1132,0)),"")</f>
        <v>100000</v>
      </c>
      <c r="M157" t="str">
        <f>IFERROR(INDEX($M$2:$M$1132,MATCH(B157,$B$2:$B$1132,0)),"")</f>
        <v>SQL, EXCEL, POWERBI, TABLEAU</v>
      </c>
      <c r="N157" t="s">
        <v>74</v>
      </c>
      <c r="O157" t="s">
        <v>80</v>
      </c>
    </row>
    <row r="158" spans="1:15" x14ac:dyDescent="0.25">
      <c r="A158">
        <v>18006</v>
      </c>
      <c r="B158" t="s">
        <v>14</v>
      </c>
      <c r="C158" t="s">
        <v>27</v>
      </c>
      <c r="D158" t="str">
        <f>IFERROR(INDEX(Sheet2!$B$2:$B$1132,MATCH(Sheet1!C158,Sheet1!$C$2:$C$1132,0)),"IDK")</f>
        <v>IT</v>
      </c>
      <c r="E158" t="s">
        <v>48</v>
      </c>
      <c r="F158" t="s">
        <v>54</v>
      </c>
      <c r="G158" s="1">
        <v>45565</v>
      </c>
      <c r="H158" t="s">
        <v>57</v>
      </c>
      <c r="I158" s="2" t="s">
        <v>159</v>
      </c>
      <c r="J158" s="2" t="s">
        <v>160</v>
      </c>
      <c r="K158">
        <f>IFERROR(INDEX(Sheet2!$C$2:$C$1132,MATCH(Sheet1!C158,Sheet1!$C$2:$C$1132,0)),"")</f>
        <v>40000</v>
      </c>
      <c r="L158">
        <f>IFERROR(INDEX(Sheet2!$D$2:$D$1132,MATCH(Sheet1!C158,$C$2:$C$1132,0)),"")</f>
        <v>80000</v>
      </c>
      <c r="M158" t="str">
        <f>IFERROR(INDEX($M$2:$M$1132,MATCH(B158,$B$2:$B$1132,0)),"")</f>
        <v>SQL, EXCEL, POWERBI, TABLEAU</v>
      </c>
      <c r="N158" t="s">
        <v>74</v>
      </c>
      <c r="O158" t="s">
        <v>77</v>
      </c>
    </row>
    <row r="159" spans="1:15" x14ac:dyDescent="0.25">
      <c r="A159">
        <v>18007</v>
      </c>
      <c r="B159" t="s">
        <v>14</v>
      </c>
      <c r="C159" t="s">
        <v>28</v>
      </c>
      <c r="D159" t="str">
        <f>IFERROR(INDEX(Sheet2!$B$2:$B$1132,MATCH(Sheet1!C159,Sheet1!$C$2:$C$1132,0)),"IDK")</f>
        <v>IT</v>
      </c>
      <c r="E159" t="s">
        <v>48</v>
      </c>
      <c r="F159" t="s">
        <v>54</v>
      </c>
      <c r="G159" s="1">
        <v>45585</v>
      </c>
      <c r="H159" t="s">
        <v>58</v>
      </c>
      <c r="I159" s="2" t="s">
        <v>131</v>
      </c>
      <c r="J159" s="2" t="s">
        <v>132</v>
      </c>
      <c r="K159">
        <f>IFERROR(INDEX(Sheet2!$C$2:$C$1132,MATCH(Sheet1!C159,Sheet1!$C$2:$C$1132,0)),"")</f>
        <v>30000</v>
      </c>
      <c r="L159">
        <f>IFERROR(INDEX(Sheet2!$D$2:$D$1132,MATCH(Sheet1!C159,$C$2:$C$1132,0)),"")</f>
        <v>55000</v>
      </c>
      <c r="M159" t="str">
        <f>IFERROR(INDEX($M$2:$M$1132,MATCH(B159,$B$2:$B$1132,0)),"")</f>
        <v>SQL, EXCEL, POWERBI, TABLEAU</v>
      </c>
      <c r="N159" t="s">
        <v>74</v>
      </c>
      <c r="O159" t="s">
        <v>77</v>
      </c>
    </row>
    <row r="160" spans="1:15" x14ac:dyDescent="0.25">
      <c r="A160">
        <v>18008</v>
      </c>
      <c r="B160" t="s">
        <v>14</v>
      </c>
      <c r="C160" t="s">
        <v>29</v>
      </c>
      <c r="D160" t="str">
        <f>IFERROR(INDEX(Sheet2!$B$2:$B$1132,MATCH(Sheet1!C160,Sheet1!$C$2:$C$1132,0)),"IDK")</f>
        <v>IT</v>
      </c>
      <c r="E160" t="s">
        <v>48</v>
      </c>
      <c r="F160" t="s">
        <v>54</v>
      </c>
      <c r="G160" s="1">
        <v>45622</v>
      </c>
      <c r="H160" t="s">
        <v>58</v>
      </c>
      <c r="I160" s="2" t="s">
        <v>133</v>
      </c>
      <c r="J160" s="2" t="s">
        <v>134</v>
      </c>
      <c r="K160">
        <f>IFERROR(INDEX(Sheet2!$C$2:$C$1132,MATCH(Sheet1!C160,Sheet1!$C$2:$C$1132,0)),"")</f>
        <v>35000</v>
      </c>
      <c r="L160">
        <f>IFERROR(INDEX(Sheet2!$D$2:$D$1132,MATCH(Sheet1!C160,$C$2:$C$1132,0)),"")</f>
        <v>70000</v>
      </c>
      <c r="M160" t="str">
        <f>IFERROR(INDEX($M$2:$M$1132,MATCH(B160,$B$2:$B$1132,0)),"")</f>
        <v>SQL, EXCEL, POWERBI, TABLEAU</v>
      </c>
      <c r="N160" t="s">
        <v>74</v>
      </c>
      <c r="O160" t="s">
        <v>77</v>
      </c>
    </row>
    <row r="161" spans="1:15" x14ac:dyDescent="0.25">
      <c r="A161">
        <v>18009</v>
      </c>
      <c r="B161" t="s">
        <v>14</v>
      </c>
      <c r="C161" t="s">
        <v>23</v>
      </c>
      <c r="D161" t="str">
        <f>IFERROR(INDEX(Sheet2!$B$2:$B$1132,MATCH(Sheet1!C161,Sheet1!$C$2:$C$1132,0)),"IDK")</f>
        <v>IT</v>
      </c>
      <c r="E161" t="s">
        <v>48</v>
      </c>
      <c r="F161" t="s">
        <v>54</v>
      </c>
      <c r="G161" s="1">
        <v>45418</v>
      </c>
      <c r="H161" t="s">
        <v>58</v>
      </c>
      <c r="I161" s="2" t="s">
        <v>133</v>
      </c>
      <c r="J161" s="2" t="s">
        <v>135</v>
      </c>
      <c r="K161">
        <f>IFERROR(INDEX(Sheet2!$C$2:$C$1132,MATCH(Sheet1!C161,Sheet1!$C$2:$C$1132,0)),"")</f>
        <v>35000</v>
      </c>
      <c r="L161">
        <f>IFERROR(INDEX(Sheet2!$D$2:$D$1132,MATCH(Sheet1!C161,$C$2:$C$1132,0)),"")</f>
        <v>70000</v>
      </c>
      <c r="M161" t="str">
        <f>IFERROR(INDEX($M$2:$M$1132,MATCH(B161,$B$2:$B$1132,0)),"")</f>
        <v>SQL, EXCEL, POWERBI, TABLEAU</v>
      </c>
      <c r="N161" t="s">
        <v>74</v>
      </c>
      <c r="O161" t="s">
        <v>77</v>
      </c>
    </row>
    <row r="162" spans="1:15" x14ac:dyDescent="0.25">
      <c r="A162">
        <v>18010</v>
      </c>
      <c r="B162" t="s">
        <v>14</v>
      </c>
      <c r="C162" t="s">
        <v>30</v>
      </c>
      <c r="D162" t="str">
        <f>IFERROR(INDEX(Sheet2!$B$2:$B$1132,MATCH(Sheet1!C162,Sheet1!$C$2:$C$1132,0)),"IDK")</f>
        <v>IT</v>
      </c>
      <c r="E162" t="s">
        <v>48</v>
      </c>
      <c r="F162" t="s">
        <v>54</v>
      </c>
      <c r="G162" s="1">
        <v>45408</v>
      </c>
      <c r="H162" t="s">
        <v>58</v>
      </c>
      <c r="I162" s="2" t="s">
        <v>136</v>
      </c>
      <c r="J162" s="2" t="s">
        <v>137</v>
      </c>
      <c r="K162">
        <f>IFERROR(INDEX(Sheet2!$C$2:$C$1132,MATCH(Sheet1!C162,Sheet1!$C$2:$C$1132,0)),"")</f>
        <v>25000</v>
      </c>
      <c r="L162">
        <f>IFERROR(INDEX(Sheet2!$D$2:$D$1132,MATCH(Sheet1!C162,$C$2:$C$1132,0)),"")</f>
        <v>60000</v>
      </c>
      <c r="M162" t="str">
        <f>IFERROR(INDEX($M$2:$M$1132,MATCH(B162,$B$2:$B$1132,0)),"")</f>
        <v>SQL, EXCEL, POWERBI, TABLEAU</v>
      </c>
      <c r="N162" t="s">
        <v>74</v>
      </c>
      <c r="O162" t="s">
        <v>78</v>
      </c>
    </row>
    <row r="163" spans="1:15" x14ac:dyDescent="0.25">
      <c r="A163">
        <v>18011</v>
      </c>
      <c r="B163" t="s">
        <v>14</v>
      </c>
      <c r="C163" t="s">
        <v>31</v>
      </c>
      <c r="D163" t="str">
        <f>IFERROR(INDEX(Sheet2!$B$2:$B$1132,MATCH(Sheet1!C163,Sheet1!$C$2:$C$1132,0)),"IDK")</f>
        <v>IT</v>
      </c>
      <c r="E163" t="s">
        <v>48</v>
      </c>
      <c r="F163" t="s">
        <v>54</v>
      </c>
      <c r="G163" s="1">
        <v>45555</v>
      </c>
      <c r="H163" t="s">
        <v>58</v>
      </c>
      <c r="I163" s="2" t="s">
        <v>138</v>
      </c>
      <c r="J163" s="2" t="s">
        <v>139</v>
      </c>
      <c r="K163">
        <f>IFERROR(INDEX(Sheet2!$C$2:$C$1132,MATCH(Sheet1!C163,Sheet1!$C$2:$C$1132,0)),"")</f>
        <v>25000</v>
      </c>
      <c r="L163">
        <f>IFERROR(INDEX(Sheet2!$D$2:$D$1132,MATCH(Sheet1!C163,$C$2:$C$1132,0)),"")</f>
        <v>75000</v>
      </c>
      <c r="M163" t="str">
        <f>IFERROR(INDEX($M$2:$M$1132,MATCH(B163,$B$2:$B$1132,0)),"")</f>
        <v>SQL, EXCEL, POWERBI, TABLEAU</v>
      </c>
      <c r="N163" t="s">
        <v>74</v>
      </c>
      <c r="O163" t="s">
        <v>78</v>
      </c>
    </row>
    <row r="164" spans="1:15" x14ac:dyDescent="0.25">
      <c r="A164">
        <v>18012</v>
      </c>
      <c r="B164" t="s">
        <v>14</v>
      </c>
      <c r="C164" t="s">
        <v>32</v>
      </c>
      <c r="D164" t="str">
        <f>IFERROR(INDEX(Sheet2!$B$2:$B$1132,MATCH(Sheet1!C164,Sheet1!$C$2:$C$1132,0)),"IDK")</f>
        <v>SOCIAL</v>
      </c>
      <c r="E164" t="s">
        <v>48</v>
      </c>
      <c r="F164" t="s">
        <v>54</v>
      </c>
      <c r="G164" s="1">
        <v>45480</v>
      </c>
      <c r="H164" t="s">
        <v>58</v>
      </c>
      <c r="I164" s="2" t="s">
        <v>140</v>
      </c>
      <c r="J164" s="2" t="s">
        <v>141</v>
      </c>
      <c r="K164">
        <f>IFERROR(INDEX(Sheet2!$C$2:$C$1132,MATCH(Sheet1!C164,Sheet1!$C$2:$C$1132,0)),"")</f>
        <v>20000</v>
      </c>
      <c r="L164">
        <f>IFERROR(INDEX(Sheet2!$D$2:$D$1132,MATCH(Sheet1!C164,$C$2:$C$1132,0)),"")</f>
        <v>70000</v>
      </c>
      <c r="M164" t="str">
        <f>IFERROR(INDEX($M$2:$M$1132,MATCH(B164,$B$2:$B$1132,0)),"")</f>
        <v>SQL, EXCEL, POWERBI, TABLEAU</v>
      </c>
      <c r="N164" t="s">
        <v>74</v>
      </c>
      <c r="O164" t="s">
        <v>78</v>
      </c>
    </row>
    <row r="165" spans="1:15" x14ac:dyDescent="0.25">
      <c r="A165">
        <v>18013</v>
      </c>
      <c r="B165" t="s">
        <v>14</v>
      </c>
      <c r="C165" t="s">
        <v>33</v>
      </c>
      <c r="D165" t="str">
        <f>IFERROR(INDEX(Sheet2!$B$2:$B$1132,MATCH(Sheet1!C165,Sheet1!$C$2:$C$1132,0)),"IDK")</f>
        <v>FINANCE</v>
      </c>
      <c r="E165" t="s">
        <v>48</v>
      </c>
      <c r="F165" t="s">
        <v>54</v>
      </c>
      <c r="G165" s="1">
        <v>45616</v>
      </c>
      <c r="H165" t="s">
        <v>58</v>
      </c>
      <c r="I165" s="2" t="s">
        <v>142</v>
      </c>
      <c r="J165" s="2" t="s">
        <v>143</v>
      </c>
      <c r="K165">
        <f>IFERROR(INDEX(Sheet2!$C$2:$C$1132,MATCH(Sheet1!C165,Sheet1!$C$2:$C$1132,0)),"")</f>
        <v>40000</v>
      </c>
      <c r="L165">
        <f>IFERROR(INDEX(Sheet2!$D$2:$D$1132,MATCH(Sheet1!C165,$C$2:$C$1132,0)),"")</f>
        <v>85000</v>
      </c>
      <c r="M165" t="str">
        <f>IFERROR(INDEX($M$2:$M$1132,MATCH(B165,$B$2:$B$1132,0)),"")</f>
        <v>SQL, EXCEL, POWERBI, TABLEAU</v>
      </c>
      <c r="N165" t="s">
        <v>74</v>
      </c>
      <c r="O165" t="s">
        <v>78</v>
      </c>
    </row>
    <row r="166" spans="1:15" x14ac:dyDescent="0.25">
      <c r="A166">
        <v>18014</v>
      </c>
      <c r="B166" t="s">
        <v>14</v>
      </c>
      <c r="C166" t="s">
        <v>23</v>
      </c>
      <c r="D166" t="str">
        <f>IFERROR(INDEX(Sheet2!$B$2:$B$1132,MATCH(Sheet1!C166,Sheet1!$C$2:$C$1132,0)),"IDK")</f>
        <v>IT</v>
      </c>
      <c r="E166" t="s">
        <v>48</v>
      </c>
      <c r="F166" t="s">
        <v>54</v>
      </c>
      <c r="G166" s="1">
        <v>45381</v>
      </c>
      <c r="H166" t="s">
        <v>58</v>
      </c>
      <c r="I166" s="2" t="s">
        <v>144</v>
      </c>
      <c r="J166" s="2" t="s">
        <v>145</v>
      </c>
      <c r="K166">
        <f>IFERROR(INDEX(Sheet2!$C$2:$C$1132,MATCH(Sheet1!C166,Sheet1!$C$2:$C$1132,0)),"")</f>
        <v>35000</v>
      </c>
      <c r="L166">
        <f>IFERROR(INDEX(Sheet2!$D$2:$D$1132,MATCH(Sheet1!C166,$C$2:$C$1132,0)),"")</f>
        <v>70000</v>
      </c>
      <c r="M166" t="str">
        <f>IFERROR(INDEX($M$2:$M$1132,MATCH(B166,$B$2:$B$1132,0)),"")</f>
        <v>SQL, EXCEL, POWERBI, TABLEAU</v>
      </c>
      <c r="N166" t="s">
        <v>74</v>
      </c>
      <c r="O166" t="s">
        <v>78</v>
      </c>
    </row>
    <row r="167" spans="1:15" x14ac:dyDescent="0.25">
      <c r="A167">
        <v>18015</v>
      </c>
      <c r="B167" t="s">
        <v>14</v>
      </c>
      <c r="C167" t="s">
        <v>24</v>
      </c>
      <c r="D167" t="str">
        <f>IFERROR(INDEX(Sheet2!$B$2:$B$1132,MATCH(Sheet1!C167,Sheet1!$C$2:$C$1132,0)),"IDK")</f>
        <v>HEALTH</v>
      </c>
      <c r="E167" t="s">
        <v>48</v>
      </c>
      <c r="F167" t="s">
        <v>54</v>
      </c>
      <c r="G167" s="1">
        <v>45560</v>
      </c>
      <c r="H167" t="s">
        <v>58</v>
      </c>
      <c r="I167" s="2" t="s">
        <v>146</v>
      </c>
      <c r="J167" s="2" t="s">
        <v>147</v>
      </c>
      <c r="K167">
        <f>IFERROR(INDEX(Sheet2!$C$2:$C$1132,MATCH(Sheet1!C167,Sheet1!$C$2:$C$1132,0)),"")</f>
        <v>25000</v>
      </c>
      <c r="L167">
        <f>IFERROR(INDEX(Sheet2!$D$2:$D$1132,MATCH(Sheet1!C167,$C$2:$C$1132,0)),"")</f>
        <v>50000</v>
      </c>
      <c r="M167" t="str">
        <f>IFERROR(INDEX($M$2:$M$1132,MATCH(B167,$B$2:$B$1132,0)),"")</f>
        <v>SQL, EXCEL, POWERBI, TABLEAU</v>
      </c>
      <c r="N167" t="s">
        <v>74</v>
      </c>
      <c r="O167" t="s">
        <v>78</v>
      </c>
    </row>
    <row r="168" spans="1:15" x14ac:dyDescent="0.25">
      <c r="A168">
        <v>18016</v>
      </c>
      <c r="B168" t="s">
        <v>14</v>
      </c>
      <c r="C168" t="s">
        <v>25</v>
      </c>
      <c r="D168" t="str">
        <f>IFERROR(INDEX(Sheet2!$B$2:$B$1132,MATCH(Sheet1!C168,Sheet1!$C$2:$C$1132,0)),"IDK")</f>
        <v>SOCIAL</v>
      </c>
      <c r="E168" t="s">
        <v>48</v>
      </c>
      <c r="F168" t="s">
        <v>54</v>
      </c>
      <c r="G168" s="1">
        <v>45429</v>
      </c>
      <c r="H168" t="s">
        <v>58</v>
      </c>
      <c r="I168" s="2" t="s">
        <v>136</v>
      </c>
      <c r="J168" s="2" t="s">
        <v>137</v>
      </c>
      <c r="K168">
        <f>IFERROR(INDEX(Sheet2!$C$2:$C$1132,MATCH(Sheet1!C168,Sheet1!$C$2:$C$1132,0)),"")</f>
        <v>30000</v>
      </c>
      <c r="L168">
        <f>IFERROR(INDEX(Sheet2!$D$2:$D$1132,MATCH(Sheet1!C168,$C$2:$C$1132,0)),"")</f>
        <v>60000</v>
      </c>
      <c r="M168" t="str">
        <f>IFERROR(INDEX($M$2:$M$1132,MATCH(B168,$B$2:$B$1132,0)),"")</f>
        <v>SQL, EXCEL, POWERBI, TABLEAU</v>
      </c>
      <c r="N168" t="s">
        <v>74</v>
      </c>
      <c r="O168" t="s">
        <v>79</v>
      </c>
    </row>
    <row r="169" spans="1:15" x14ac:dyDescent="0.25">
      <c r="A169">
        <v>18017</v>
      </c>
      <c r="B169" t="s">
        <v>14</v>
      </c>
      <c r="C169" t="s">
        <v>26</v>
      </c>
      <c r="D169" t="str">
        <f>IFERROR(INDEX(Sheet2!$B$2:$B$1132,MATCH(Sheet1!C169,Sheet1!$C$2:$C$1132,0)),"IDK")</f>
        <v>FINANCE</v>
      </c>
      <c r="E169" t="s">
        <v>48</v>
      </c>
      <c r="F169" t="s">
        <v>54</v>
      </c>
      <c r="G169" s="1">
        <v>45474</v>
      </c>
      <c r="H169" t="s">
        <v>58</v>
      </c>
      <c r="I169" s="2" t="s">
        <v>138</v>
      </c>
      <c r="J169" s="2" t="s">
        <v>139</v>
      </c>
      <c r="K169">
        <f>IFERROR(INDEX(Sheet2!$C$2:$C$1132,MATCH(Sheet1!C169,Sheet1!$C$2:$C$1132,0)),"")</f>
        <v>35000</v>
      </c>
      <c r="L169">
        <f>IFERROR(INDEX(Sheet2!$D$2:$D$1132,MATCH(Sheet1!C169,$C$2:$C$1132,0)),"")</f>
        <v>75000</v>
      </c>
      <c r="M169" t="str">
        <f>IFERROR(INDEX($M$2:$M$1132,MATCH(B169,$B$2:$B$1132,0)),"")</f>
        <v>SQL, EXCEL, POWERBI, TABLEAU</v>
      </c>
      <c r="N169" t="s">
        <v>74</v>
      </c>
      <c r="O169" t="s">
        <v>79</v>
      </c>
    </row>
    <row r="170" spans="1:15" x14ac:dyDescent="0.25">
      <c r="A170">
        <v>18018</v>
      </c>
      <c r="B170" t="s">
        <v>14</v>
      </c>
      <c r="C170" t="s">
        <v>37</v>
      </c>
      <c r="D170" t="s">
        <v>43</v>
      </c>
      <c r="E170" t="s">
        <v>48</v>
      </c>
      <c r="F170" t="s">
        <v>54</v>
      </c>
      <c r="G170" s="1">
        <v>45546</v>
      </c>
      <c r="H170" t="s">
        <v>58</v>
      </c>
      <c r="I170" s="2" t="s">
        <v>140</v>
      </c>
      <c r="J170" s="2" t="s">
        <v>141</v>
      </c>
      <c r="K170">
        <v>45000</v>
      </c>
      <c r="L170">
        <v>90000</v>
      </c>
      <c r="M170" t="str">
        <f>IFERROR(INDEX($M$2:$M$1132,MATCH(B170,$B$2:$B$1132,0)),"")</f>
        <v>SQL, EXCEL, POWERBI, TABLEAU</v>
      </c>
      <c r="N170" t="s">
        <v>74</v>
      </c>
      <c r="O170" t="s">
        <v>79</v>
      </c>
    </row>
    <row r="171" spans="1:15" x14ac:dyDescent="0.25">
      <c r="A171">
        <v>18019</v>
      </c>
      <c r="B171" t="s">
        <v>14</v>
      </c>
      <c r="C171" t="s">
        <v>38</v>
      </c>
      <c r="D171" t="s">
        <v>42</v>
      </c>
      <c r="E171" t="s">
        <v>48</v>
      </c>
      <c r="F171" t="s">
        <v>54</v>
      </c>
      <c r="G171" s="1">
        <v>45477</v>
      </c>
      <c r="H171" t="s">
        <v>58</v>
      </c>
      <c r="I171" s="2" t="s">
        <v>142</v>
      </c>
      <c r="J171" s="2" t="s">
        <v>143</v>
      </c>
      <c r="K171">
        <v>20000</v>
      </c>
      <c r="L171">
        <v>80000</v>
      </c>
      <c r="M171" t="str">
        <f>IFERROR(INDEX($M$2:$M$1132,MATCH(B171,$B$2:$B$1132,0)),"")</f>
        <v>SQL, EXCEL, POWERBI, TABLEAU</v>
      </c>
      <c r="N171" t="s">
        <v>74</v>
      </c>
      <c r="O171" t="s">
        <v>79</v>
      </c>
    </row>
    <row r="172" spans="1:15" x14ac:dyDescent="0.25">
      <c r="A172">
        <v>18020</v>
      </c>
      <c r="B172" t="s">
        <v>14</v>
      </c>
      <c r="C172" t="s">
        <v>39</v>
      </c>
      <c r="D172" t="s">
        <v>42</v>
      </c>
      <c r="E172" t="s">
        <v>48</v>
      </c>
      <c r="F172" t="s">
        <v>54</v>
      </c>
      <c r="G172" s="1">
        <v>45640</v>
      </c>
      <c r="H172" t="s">
        <v>58</v>
      </c>
      <c r="I172" s="2" t="s">
        <v>144</v>
      </c>
      <c r="J172" s="2" t="s">
        <v>145</v>
      </c>
      <c r="K172">
        <v>25000</v>
      </c>
      <c r="L172">
        <v>85000</v>
      </c>
      <c r="M172" t="str">
        <f>IFERROR(INDEX($M$2:$M$1132,MATCH(B172,$B$2:$B$1132,0)),"")</f>
        <v>SQL, EXCEL, POWERBI, TABLEAU</v>
      </c>
      <c r="N172" t="s">
        <v>74</v>
      </c>
      <c r="O172" t="s">
        <v>79</v>
      </c>
    </row>
    <row r="173" spans="1:15" x14ac:dyDescent="0.25">
      <c r="A173">
        <v>18021</v>
      </c>
      <c r="B173" t="s">
        <v>14</v>
      </c>
      <c r="C173" t="s">
        <v>23</v>
      </c>
      <c r="D173" t="str">
        <f>IFERROR(INDEX(Sheet2!$B$2:$B$1132,MATCH(Sheet1!C173,Sheet1!$C$2:$C$1132,0)),"IDK")</f>
        <v>IT</v>
      </c>
      <c r="E173" t="s">
        <v>48</v>
      </c>
      <c r="F173" t="s">
        <v>54</v>
      </c>
      <c r="G173" s="1">
        <v>45477</v>
      </c>
      <c r="H173" t="s">
        <v>58</v>
      </c>
      <c r="I173" s="2" t="s">
        <v>146</v>
      </c>
      <c r="J173" s="2" t="s">
        <v>147</v>
      </c>
      <c r="K173">
        <f>IFERROR(INDEX(Sheet2!$C$2:$C$1132,MATCH(Sheet1!C173,Sheet1!$C$2:$C$1132,0)),"")</f>
        <v>35000</v>
      </c>
      <c r="L173">
        <f>IFERROR(INDEX(Sheet2!$D$2:$D$1132,MATCH(Sheet1!C173,$C$2:$C$1132,0)),"")</f>
        <v>70000</v>
      </c>
      <c r="M173" t="str">
        <f>IFERROR(INDEX($M$2:$M$1132,MATCH(B173,$B$2:$B$1132,0)),"")</f>
        <v>SQL, EXCEL, POWERBI, TABLEAU</v>
      </c>
      <c r="N173" t="s">
        <v>74</v>
      </c>
      <c r="O173" t="s">
        <v>80</v>
      </c>
    </row>
    <row r="174" spans="1:15" x14ac:dyDescent="0.25">
      <c r="A174">
        <v>18022</v>
      </c>
      <c r="B174" t="s">
        <v>14</v>
      </c>
      <c r="C174" t="s">
        <v>30</v>
      </c>
      <c r="D174" t="str">
        <f>IFERROR(INDEX(Sheet2!$B$2:$B$1132,MATCH(Sheet1!C174,Sheet1!$C$2:$C$1132,0)),"IDK")</f>
        <v>IT</v>
      </c>
      <c r="E174" t="s">
        <v>48</v>
      </c>
      <c r="F174" t="s">
        <v>54</v>
      </c>
      <c r="G174" s="1">
        <v>45359</v>
      </c>
      <c r="H174" t="s">
        <v>58</v>
      </c>
      <c r="I174" s="2" t="s">
        <v>129</v>
      </c>
      <c r="J174" s="2" t="s">
        <v>130</v>
      </c>
      <c r="K174">
        <f>IFERROR(INDEX(Sheet2!$C$2:$C$1132,MATCH(Sheet1!C174,Sheet1!$C$2:$C$1132,0)),"")</f>
        <v>25000</v>
      </c>
      <c r="L174">
        <f>IFERROR(INDEX(Sheet2!$D$2:$D$1132,MATCH(Sheet1!C174,$C$2:$C$1132,0)),"")</f>
        <v>60000</v>
      </c>
      <c r="M174" t="str">
        <f>IFERROR(INDEX($M$2:$M$1132,MATCH(B174,$B$2:$B$1132,0)),"")</f>
        <v>SQL, EXCEL, POWERBI, TABLEAU</v>
      </c>
      <c r="N174" t="s">
        <v>74</v>
      </c>
      <c r="O174" t="s">
        <v>80</v>
      </c>
    </row>
    <row r="175" spans="1:15" x14ac:dyDescent="0.25">
      <c r="A175">
        <v>18023</v>
      </c>
      <c r="B175" t="s">
        <v>14</v>
      </c>
      <c r="C175" t="s">
        <v>31</v>
      </c>
      <c r="D175" t="str">
        <f>IFERROR(INDEX(Sheet2!$B$2:$B$1132,MATCH(Sheet1!C175,Sheet1!$C$2:$C$1132,0)),"IDK")</f>
        <v>IT</v>
      </c>
      <c r="E175" t="s">
        <v>48</v>
      </c>
      <c r="F175" t="s">
        <v>54</v>
      </c>
      <c r="G175" s="1">
        <v>45556</v>
      </c>
      <c r="H175" t="s">
        <v>58</v>
      </c>
      <c r="I175" s="2" t="s">
        <v>131</v>
      </c>
      <c r="J175" s="2" t="s">
        <v>132</v>
      </c>
      <c r="K175">
        <f>IFERROR(INDEX(Sheet2!$C$2:$C$1132,MATCH(Sheet1!C175,Sheet1!$C$2:$C$1132,0)),"")</f>
        <v>25000</v>
      </c>
      <c r="L175">
        <f>IFERROR(INDEX(Sheet2!$D$2:$D$1132,MATCH(Sheet1!C175,$C$2:$C$1132,0)),"")</f>
        <v>75000</v>
      </c>
      <c r="M175" t="str">
        <f>IFERROR(INDEX($M$2:$M$1132,MATCH(B175,$B$2:$B$1132,0)),"")</f>
        <v>SQL, EXCEL, POWERBI, TABLEAU</v>
      </c>
      <c r="N175" t="s">
        <v>74</v>
      </c>
      <c r="O175" t="s">
        <v>37</v>
      </c>
    </row>
    <row r="176" spans="1:15" x14ac:dyDescent="0.25">
      <c r="A176">
        <v>18024</v>
      </c>
      <c r="B176" t="s">
        <v>14</v>
      </c>
      <c r="C176" t="s">
        <v>32</v>
      </c>
      <c r="D176" t="str">
        <f>IFERROR(INDEX(Sheet2!$B$2:$B$1132,MATCH(Sheet1!C176,Sheet1!$C$2:$C$1132,0)),"IDK")</f>
        <v>SOCIAL</v>
      </c>
      <c r="E176" t="s">
        <v>48</v>
      </c>
      <c r="F176" t="s">
        <v>54</v>
      </c>
      <c r="G176" s="1">
        <v>45392</v>
      </c>
      <c r="H176" t="s">
        <v>58</v>
      </c>
      <c r="I176" s="2" t="s">
        <v>133</v>
      </c>
      <c r="J176" s="2" t="s">
        <v>134</v>
      </c>
      <c r="K176">
        <f>IFERROR(INDEX(Sheet2!$C$2:$C$1132,MATCH(Sheet1!C176,Sheet1!$C$2:$C$1132,0)),"")</f>
        <v>20000</v>
      </c>
      <c r="L176">
        <f>IFERROR(INDEX(Sheet2!$D$2:$D$1132,MATCH(Sheet1!C176,$C$2:$C$1132,0)),"")</f>
        <v>70000</v>
      </c>
      <c r="M176" t="str">
        <f>IFERROR(INDEX($M$2:$M$1132,MATCH(B176,$B$2:$B$1132,0)),"")</f>
        <v>SQL, EXCEL, POWERBI, TABLEAU</v>
      </c>
      <c r="N176" t="s">
        <v>74</v>
      </c>
      <c r="O176" t="s">
        <v>79</v>
      </c>
    </row>
    <row r="177" spans="1:15" x14ac:dyDescent="0.25">
      <c r="A177">
        <v>18025</v>
      </c>
      <c r="B177" t="s">
        <v>14</v>
      </c>
      <c r="C177" t="s">
        <v>33</v>
      </c>
      <c r="D177" t="str">
        <f>IFERROR(INDEX(Sheet2!$B$2:$B$1132,MATCH(Sheet1!C177,Sheet1!$C$2:$C$1132,0)),"IDK")</f>
        <v>FINANCE</v>
      </c>
      <c r="E177" t="s">
        <v>48</v>
      </c>
      <c r="F177" t="s">
        <v>54</v>
      </c>
      <c r="G177" s="1">
        <v>45377</v>
      </c>
      <c r="H177" t="s">
        <v>58</v>
      </c>
      <c r="I177" s="2" t="s">
        <v>133</v>
      </c>
      <c r="J177" s="2" t="s">
        <v>135</v>
      </c>
      <c r="K177">
        <f>IFERROR(INDEX(Sheet2!$C$2:$C$1132,MATCH(Sheet1!C177,Sheet1!$C$2:$C$1132,0)),"")</f>
        <v>40000</v>
      </c>
      <c r="L177">
        <f>IFERROR(INDEX(Sheet2!$D$2:$D$1132,MATCH(Sheet1!C177,$C$2:$C$1132,0)),"")</f>
        <v>85000</v>
      </c>
      <c r="M177" t="str">
        <f>IFERROR(INDEX($M$2:$M$1132,MATCH(B177,$B$2:$B$1132,0)),"")</f>
        <v>SQL, EXCEL, POWERBI, TABLEAU</v>
      </c>
      <c r="N177" t="s">
        <v>74</v>
      </c>
      <c r="O177" t="s">
        <v>37</v>
      </c>
    </row>
    <row r="178" spans="1:15" x14ac:dyDescent="0.25">
      <c r="A178">
        <v>18026</v>
      </c>
      <c r="B178" t="s">
        <v>14</v>
      </c>
      <c r="C178" t="s">
        <v>23</v>
      </c>
      <c r="D178" t="str">
        <f>IFERROR(INDEX(Sheet2!$B$2:$B$1132,MATCH(Sheet1!C178,Sheet1!$C$2:$C$1132,0)),"IDK")</f>
        <v>IT</v>
      </c>
      <c r="E178" t="s">
        <v>48</v>
      </c>
      <c r="F178" t="s">
        <v>54</v>
      </c>
      <c r="G178" s="1">
        <v>45328</v>
      </c>
      <c r="H178" t="s">
        <v>58</v>
      </c>
      <c r="I178" s="2" t="s">
        <v>136</v>
      </c>
      <c r="J178" s="2" t="s">
        <v>137</v>
      </c>
      <c r="K178">
        <f>IFERROR(INDEX(Sheet2!$C$2:$C$1132,MATCH(Sheet1!C178,Sheet1!$C$2:$C$1132,0)),"")</f>
        <v>35000</v>
      </c>
      <c r="L178">
        <f>IFERROR(INDEX(Sheet2!$D$2:$D$1132,MATCH(Sheet1!C178,$C$2:$C$1132,0)),"")</f>
        <v>70000</v>
      </c>
      <c r="M178" t="str">
        <f>IFERROR(INDEX($M$2:$M$1132,MATCH(B178,$B$2:$B$1132,0)),"")</f>
        <v>SQL, EXCEL, POWERBI, TABLEAU</v>
      </c>
      <c r="N178" t="s">
        <v>74</v>
      </c>
      <c r="O178" t="s">
        <v>78</v>
      </c>
    </row>
    <row r="179" spans="1:15" x14ac:dyDescent="0.25">
      <c r="A179">
        <v>18027</v>
      </c>
      <c r="B179" t="s">
        <v>14</v>
      </c>
      <c r="C179" t="s">
        <v>24</v>
      </c>
      <c r="D179" t="str">
        <f>IFERROR(INDEX(Sheet2!$B$2:$B$1132,MATCH(Sheet1!C179,Sheet1!$C$2:$C$1132,0)),"IDK")</f>
        <v>HEALTH</v>
      </c>
      <c r="E179" t="s">
        <v>48</v>
      </c>
      <c r="F179" t="s">
        <v>54</v>
      </c>
      <c r="G179" s="1">
        <v>45476</v>
      </c>
      <c r="H179" t="s">
        <v>58</v>
      </c>
      <c r="I179" s="2" t="s">
        <v>138</v>
      </c>
      <c r="J179" s="2" t="s">
        <v>139</v>
      </c>
      <c r="K179">
        <f>IFERROR(INDEX(Sheet2!$C$2:$C$1132,MATCH(Sheet1!C179,Sheet1!$C$2:$C$1132,0)),"")</f>
        <v>25000</v>
      </c>
      <c r="L179">
        <f>IFERROR(INDEX(Sheet2!$D$2:$D$1132,MATCH(Sheet1!C179,$C$2:$C$1132,0)),"")</f>
        <v>50000</v>
      </c>
      <c r="M179" t="str">
        <f>IFERROR(INDEX($M$2:$M$1132,MATCH(B179,$B$2:$B$1132,0)),"")</f>
        <v>SQL, EXCEL, POWERBI, TABLEAU</v>
      </c>
      <c r="N179" t="s">
        <v>74</v>
      </c>
      <c r="O179" t="s">
        <v>79</v>
      </c>
    </row>
    <row r="180" spans="1:15" x14ac:dyDescent="0.25">
      <c r="A180">
        <v>18028</v>
      </c>
      <c r="B180" t="s">
        <v>14</v>
      </c>
      <c r="C180" t="s">
        <v>25</v>
      </c>
      <c r="D180" t="str">
        <f>IFERROR(INDEX(Sheet2!$B$2:$B$1132,MATCH(Sheet1!C180,Sheet1!$C$2:$C$1132,0)),"IDK")</f>
        <v>SOCIAL</v>
      </c>
      <c r="E180" t="s">
        <v>48</v>
      </c>
      <c r="F180" t="s">
        <v>54</v>
      </c>
      <c r="G180" s="1">
        <v>45519</v>
      </c>
      <c r="H180" t="s">
        <v>58</v>
      </c>
      <c r="I180" s="2" t="s">
        <v>140</v>
      </c>
      <c r="J180" s="2" t="s">
        <v>141</v>
      </c>
      <c r="K180">
        <f>IFERROR(INDEX(Sheet2!$C$2:$C$1132,MATCH(Sheet1!C180,Sheet1!$C$2:$C$1132,0)),"")</f>
        <v>30000</v>
      </c>
      <c r="L180">
        <f>IFERROR(INDEX(Sheet2!$D$2:$D$1132,MATCH(Sheet1!C180,$C$2:$C$1132,0)),"")</f>
        <v>60000</v>
      </c>
      <c r="M180" t="str">
        <f>IFERROR(INDEX($M$2:$M$1132,MATCH(B180,$B$2:$B$1132,0)),"")</f>
        <v>SQL, EXCEL, POWERBI, TABLEAU</v>
      </c>
      <c r="N180" t="s">
        <v>74</v>
      </c>
      <c r="O180" t="s">
        <v>80</v>
      </c>
    </row>
    <row r="181" spans="1:15" x14ac:dyDescent="0.25">
      <c r="A181">
        <v>18029</v>
      </c>
      <c r="B181" t="s">
        <v>14</v>
      </c>
      <c r="C181" t="s">
        <v>26</v>
      </c>
      <c r="D181" t="str">
        <f>IFERROR(INDEX(Sheet2!$B$2:$B$1132,MATCH(Sheet1!C181,Sheet1!$C$2:$C$1132,0)),"IDK")</f>
        <v>FINANCE</v>
      </c>
      <c r="E181" t="s">
        <v>48</v>
      </c>
      <c r="F181" t="s">
        <v>54</v>
      </c>
      <c r="G181" s="1">
        <v>45328</v>
      </c>
      <c r="H181" t="s">
        <v>58</v>
      </c>
      <c r="I181" s="2" t="s">
        <v>140</v>
      </c>
      <c r="J181" s="2" t="s">
        <v>141</v>
      </c>
      <c r="K181">
        <f>IFERROR(INDEX(Sheet2!$C$2:$C$1132,MATCH(Sheet1!C181,Sheet1!$C$2:$C$1132,0)),"")</f>
        <v>35000</v>
      </c>
      <c r="L181">
        <f>IFERROR(INDEX(Sheet2!$D$2:$D$1132,MATCH(Sheet1!C181,$C$2:$C$1132,0)),"")</f>
        <v>75000</v>
      </c>
      <c r="M181" t="str">
        <f>IFERROR(INDEX($M$2:$M$1132,MATCH(B181,$B$2:$B$1132,0)),"")</f>
        <v>SQL, EXCEL, POWERBI, TABLEAU</v>
      </c>
      <c r="N181" t="s">
        <v>74</v>
      </c>
      <c r="O181" t="s">
        <v>77</v>
      </c>
    </row>
    <row r="182" spans="1:15" x14ac:dyDescent="0.25">
      <c r="A182">
        <v>18030</v>
      </c>
      <c r="B182" t="s">
        <v>14</v>
      </c>
      <c r="C182" t="s">
        <v>27</v>
      </c>
      <c r="D182" t="str">
        <f>IFERROR(INDEX(Sheet2!$B$2:$B$1132,MATCH(Sheet1!C182,Sheet1!$C$2:$C$1132,0)),"IDK")</f>
        <v>IT</v>
      </c>
      <c r="E182" t="s">
        <v>48</v>
      </c>
      <c r="F182" t="s">
        <v>54</v>
      </c>
      <c r="G182" s="1">
        <v>45417</v>
      </c>
      <c r="H182" t="s">
        <v>58</v>
      </c>
      <c r="I182" s="2" t="s">
        <v>140</v>
      </c>
      <c r="J182" s="2" t="s">
        <v>141</v>
      </c>
      <c r="K182">
        <f>IFERROR(INDEX(Sheet2!$C$2:$C$1132,MATCH(Sheet1!C182,Sheet1!$C$2:$C$1132,0)),"")</f>
        <v>40000</v>
      </c>
      <c r="L182">
        <f>IFERROR(INDEX(Sheet2!$D$2:$D$1132,MATCH(Sheet1!C182,$C$2:$C$1132,0)),"")</f>
        <v>80000</v>
      </c>
      <c r="M182" t="str">
        <f>IFERROR(INDEX($M$2:$M$1132,MATCH(B182,$B$2:$B$1132,0)),"")</f>
        <v>SQL, EXCEL, POWERBI, TABLEAU</v>
      </c>
      <c r="N182" t="s">
        <v>74</v>
      </c>
      <c r="O182" t="s">
        <v>79</v>
      </c>
    </row>
    <row r="183" spans="1:15" x14ac:dyDescent="0.25">
      <c r="A183">
        <v>18031</v>
      </c>
      <c r="B183" t="s">
        <v>14</v>
      </c>
      <c r="C183" t="s">
        <v>28</v>
      </c>
      <c r="D183" t="str">
        <f>IFERROR(INDEX(Sheet2!$B$2:$B$1132,MATCH(Sheet1!C183,Sheet1!$C$2:$C$1132,0)),"IDK")</f>
        <v>IT</v>
      </c>
      <c r="E183" t="s">
        <v>48</v>
      </c>
      <c r="F183" t="s">
        <v>54</v>
      </c>
      <c r="G183" s="1">
        <v>45637</v>
      </c>
      <c r="H183" t="s">
        <v>58</v>
      </c>
      <c r="I183" s="2" t="s">
        <v>140</v>
      </c>
      <c r="J183" s="2" t="s">
        <v>141</v>
      </c>
      <c r="K183">
        <f>IFERROR(INDEX(Sheet2!$C$2:$C$1132,MATCH(Sheet1!C183,Sheet1!$C$2:$C$1132,0)),"")</f>
        <v>30000</v>
      </c>
      <c r="L183">
        <f>IFERROR(INDEX(Sheet2!$D$2:$D$1132,MATCH(Sheet1!C183,$C$2:$C$1132,0)),"")</f>
        <v>55000</v>
      </c>
      <c r="M183" t="str">
        <f>IFERROR(INDEX($M$2:$M$1132,MATCH(B183,$B$2:$B$1132,0)),"")</f>
        <v>SQL, EXCEL, POWERBI, TABLEAU</v>
      </c>
      <c r="N183" t="s">
        <v>74</v>
      </c>
      <c r="O183" t="s">
        <v>37</v>
      </c>
    </row>
    <row r="184" spans="1:15" x14ac:dyDescent="0.25">
      <c r="A184">
        <v>18032</v>
      </c>
      <c r="B184" t="s">
        <v>14</v>
      </c>
      <c r="C184" t="s">
        <v>29</v>
      </c>
      <c r="D184" t="str">
        <f>IFERROR(INDEX(Sheet2!$B$2:$B$1132,MATCH(Sheet1!C184,Sheet1!$C$2:$C$1132,0)),"IDK")</f>
        <v>IT</v>
      </c>
      <c r="E184" t="s">
        <v>48</v>
      </c>
      <c r="F184" t="s">
        <v>54</v>
      </c>
      <c r="G184" s="1">
        <v>45460</v>
      </c>
      <c r="H184" t="s">
        <v>58</v>
      </c>
      <c r="I184" s="2" t="s">
        <v>140</v>
      </c>
      <c r="J184" s="2" t="s">
        <v>141</v>
      </c>
      <c r="K184">
        <f>IFERROR(INDEX(Sheet2!$C$2:$C$1132,MATCH(Sheet1!C184,Sheet1!$C$2:$C$1132,0)),"")</f>
        <v>35000</v>
      </c>
      <c r="L184">
        <f>IFERROR(INDEX(Sheet2!$D$2:$D$1132,MATCH(Sheet1!C184,$C$2:$C$1132,0)),"")</f>
        <v>70000</v>
      </c>
      <c r="M184" t="str">
        <f>IFERROR(INDEX($M$2:$M$1132,MATCH(B184,$B$2:$B$1132,0)),"")</f>
        <v>SQL, EXCEL, POWERBI, TABLEAU</v>
      </c>
      <c r="N184" t="s">
        <v>74</v>
      </c>
      <c r="O184" t="s">
        <v>78</v>
      </c>
    </row>
    <row r="185" spans="1:15" x14ac:dyDescent="0.25">
      <c r="A185">
        <v>18033</v>
      </c>
      <c r="B185" t="s">
        <v>14</v>
      </c>
      <c r="C185" t="s">
        <v>23</v>
      </c>
      <c r="D185" t="str">
        <f>IFERROR(INDEX(Sheet2!$B$2:$B$1132,MATCH(Sheet1!C185,Sheet1!$C$2:$C$1132,0)),"IDK")</f>
        <v>IT</v>
      </c>
      <c r="E185" t="s">
        <v>48</v>
      </c>
      <c r="F185" t="s">
        <v>54</v>
      </c>
      <c r="G185" s="1">
        <v>45526</v>
      </c>
      <c r="H185" t="s">
        <v>58</v>
      </c>
      <c r="I185" s="2" t="s">
        <v>136</v>
      </c>
      <c r="J185" s="2" t="s">
        <v>137</v>
      </c>
      <c r="K185">
        <f>IFERROR(INDEX(Sheet2!$C$2:$C$1132,MATCH(Sheet1!C185,Sheet1!$C$2:$C$1132,0)),"")</f>
        <v>35000</v>
      </c>
      <c r="L185">
        <f>IFERROR(INDEX(Sheet2!$D$2:$D$1132,MATCH(Sheet1!C185,$C$2:$C$1132,0)),"")</f>
        <v>70000</v>
      </c>
      <c r="M185" t="str">
        <f>IFERROR(INDEX($M$2:$M$1132,MATCH(B185,$B$2:$B$1132,0)),"")</f>
        <v>SQL, EXCEL, POWERBI, TABLEAU</v>
      </c>
      <c r="N185" t="s">
        <v>74</v>
      </c>
      <c r="O185" t="s">
        <v>80</v>
      </c>
    </row>
    <row r="186" spans="1:15" x14ac:dyDescent="0.25">
      <c r="A186">
        <v>18034</v>
      </c>
      <c r="B186" t="s">
        <v>14</v>
      </c>
      <c r="C186" t="s">
        <v>30</v>
      </c>
      <c r="D186" t="str">
        <f>IFERROR(INDEX(Sheet2!$B$2:$B$1132,MATCH(Sheet1!C186,Sheet1!$C$2:$C$1132,0)),"IDK")</f>
        <v>IT</v>
      </c>
      <c r="E186" t="s">
        <v>48</v>
      </c>
      <c r="F186" t="s">
        <v>54</v>
      </c>
      <c r="G186" s="1">
        <v>45519</v>
      </c>
      <c r="H186" t="s">
        <v>58</v>
      </c>
      <c r="I186" s="2" t="s">
        <v>136</v>
      </c>
      <c r="J186" s="2" t="s">
        <v>137</v>
      </c>
      <c r="K186">
        <f>IFERROR(INDEX(Sheet2!$C$2:$C$1132,MATCH(Sheet1!C186,Sheet1!$C$2:$C$1132,0)),"")</f>
        <v>25000</v>
      </c>
      <c r="L186">
        <f>IFERROR(INDEX(Sheet2!$D$2:$D$1132,MATCH(Sheet1!C186,$C$2:$C$1132,0)),"")</f>
        <v>60000</v>
      </c>
      <c r="M186" t="str">
        <f>IFERROR(INDEX($M$2:$M$1132,MATCH(B186,$B$2:$B$1132,0)),"")</f>
        <v>SQL, EXCEL, POWERBI, TABLEAU</v>
      </c>
      <c r="N186" t="s">
        <v>74</v>
      </c>
      <c r="O186" t="s">
        <v>79</v>
      </c>
    </row>
    <row r="187" spans="1:15" x14ac:dyDescent="0.25">
      <c r="A187">
        <v>18035</v>
      </c>
      <c r="B187" t="s">
        <v>14</v>
      </c>
      <c r="C187" t="s">
        <v>31</v>
      </c>
      <c r="D187" t="str">
        <f>IFERROR(INDEX(Sheet2!$B$2:$B$1132,MATCH(Sheet1!C187,Sheet1!$C$2:$C$1132,0)),"IDK")</f>
        <v>IT</v>
      </c>
      <c r="E187" t="s">
        <v>48</v>
      </c>
      <c r="F187" t="s">
        <v>54</v>
      </c>
      <c r="G187" s="1">
        <v>45585</v>
      </c>
      <c r="H187" t="s">
        <v>58</v>
      </c>
      <c r="I187" s="2" t="s">
        <v>136</v>
      </c>
      <c r="J187" s="2" t="s">
        <v>137</v>
      </c>
      <c r="K187">
        <f>IFERROR(INDEX(Sheet2!$C$2:$C$1132,MATCH(Sheet1!C187,Sheet1!$C$2:$C$1132,0)),"")</f>
        <v>25000</v>
      </c>
      <c r="L187">
        <f>IFERROR(INDEX(Sheet2!$D$2:$D$1132,MATCH(Sheet1!C187,$C$2:$C$1132,0)),"")</f>
        <v>75000</v>
      </c>
      <c r="M187" t="str">
        <f>IFERROR(INDEX($M$2:$M$1132,MATCH(B187,$B$2:$B$1132,0)),"")</f>
        <v>SQL, EXCEL, POWERBI, TABLEAU</v>
      </c>
      <c r="N187" t="s">
        <v>74</v>
      </c>
      <c r="O187" t="s">
        <v>37</v>
      </c>
    </row>
    <row r="188" spans="1:15" x14ac:dyDescent="0.25">
      <c r="A188">
        <v>18036</v>
      </c>
      <c r="B188" t="s">
        <v>14</v>
      </c>
      <c r="C188" t="s">
        <v>32</v>
      </c>
      <c r="D188" t="str">
        <f>IFERROR(INDEX(Sheet2!$B$2:$B$1132,MATCH(Sheet1!C188,Sheet1!$C$2:$C$1132,0)),"IDK")</f>
        <v>SOCIAL</v>
      </c>
      <c r="E188" t="s">
        <v>48</v>
      </c>
      <c r="F188" t="s">
        <v>54</v>
      </c>
      <c r="G188" s="1">
        <v>45330</v>
      </c>
      <c r="H188" t="s">
        <v>58</v>
      </c>
      <c r="I188" s="2" t="s">
        <v>131</v>
      </c>
      <c r="J188" s="2" t="s">
        <v>132</v>
      </c>
      <c r="K188">
        <f>IFERROR(INDEX(Sheet2!$C$2:$C$1132,MATCH(Sheet1!C188,Sheet1!$C$2:$C$1132,0)),"")</f>
        <v>20000</v>
      </c>
      <c r="L188">
        <f>IFERROR(INDEX(Sheet2!$D$2:$D$1132,MATCH(Sheet1!C188,$C$2:$C$1132,0)),"")</f>
        <v>70000</v>
      </c>
      <c r="M188" t="str">
        <f>IFERROR(INDEX($M$2:$M$1132,MATCH(B188,$B$2:$B$1132,0)),"")</f>
        <v>SQL, EXCEL, POWERBI, TABLEAU</v>
      </c>
      <c r="N188" t="s">
        <v>74</v>
      </c>
      <c r="O188" t="s">
        <v>78</v>
      </c>
    </row>
    <row r="189" spans="1:15" x14ac:dyDescent="0.25">
      <c r="A189">
        <v>18037</v>
      </c>
      <c r="B189" t="s">
        <v>14</v>
      </c>
      <c r="C189" t="s">
        <v>33</v>
      </c>
      <c r="D189" t="str">
        <f>IFERROR(INDEX(Sheet2!$B$2:$B$1132,MATCH(Sheet1!C189,Sheet1!$C$2:$C$1132,0)),"IDK")</f>
        <v>FINANCE</v>
      </c>
      <c r="E189" t="s">
        <v>48</v>
      </c>
      <c r="F189" t="s">
        <v>54</v>
      </c>
      <c r="G189" s="1">
        <v>45581</v>
      </c>
      <c r="H189" t="s">
        <v>58</v>
      </c>
      <c r="I189" s="2" t="s">
        <v>131</v>
      </c>
      <c r="J189" s="2" t="s">
        <v>132</v>
      </c>
      <c r="K189">
        <f>IFERROR(INDEX(Sheet2!$C$2:$C$1132,MATCH(Sheet1!C189,Sheet1!$C$2:$C$1132,0)),"")</f>
        <v>40000</v>
      </c>
      <c r="L189">
        <f>IFERROR(INDEX(Sheet2!$D$2:$D$1132,MATCH(Sheet1!C189,$C$2:$C$1132,0)),"")</f>
        <v>85000</v>
      </c>
      <c r="M189" t="str">
        <f>IFERROR(INDEX($M$2:$M$1132,MATCH(B189,$B$2:$B$1132,0)),"")</f>
        <v>SQL, EXCEL, POWERBI, TABLEAU</v>
      </c>
      <c r="N189" t="s">
        <v>74</v>
      </c>
      <c r="O189" t="s">
        <v>79</v>
      </c>
    </row>
    <row r="190" spans="1:15" x14ac:dyDescent="0.25">
      <c r="A190">
        <v>18038</v>
      </c>
      <c r="B190" t="s">
        <v>14</v>
      </c>
      <c r="C190" t="s">
        <v>24</v>
      </c>
      <c r="D190" t="str">
        <f>IFERROR(INDEX(Sheet2!$B$2:$B$1132,MATCH(Sheet1!C190,Sheet1!$C$2:$C$1132,0)),"IDK")</f>
        <v>HEALTH</v>
      </c>
      <c r="E190" t="s">
        <v>48</v>
      </c>
      <c r="F190" t="s">
        <v>54</v>
      </c>
      <c r="G190" s="1">
        <v>45568</v>
      </c>
      <c r="H190" t="s">
        <v>58</v>
      </c>
      <c r="I190" s="2" t="s">
        <v>131</v>
      </c>
      <c r="J190" s="2" t="s">
        <v>132</v>
      </c>
      <c r="K190">
        <f>IFERROR(INDEX(Sheet2!$C$2:$C$1132,MATCH(Sheet1!C190,Sheet1!$C$2:$C$1132,0)),"")</f>
        <v>25000</v>
      </c>
      <c r="L190">
        <f>IFERROR(INDEX(Sheet2!$D$2:$D$1132,MATCH(Sheet1!C190,$C$2:$C$1132,0)),"")</f>
        <v>50000</v>
      </c>
      <c r="M190" t="str">
        <f>IFERROR(INDEX($M$2:$M$1132,MATCH(B190,$B$2:$B$1132,0)),"")</f>
        <v>SQL, EXCEL, POWERBI, TABLEAU</v>
      </c>
      <c r="N190" t="s">
        <v>74</v>
      </c>
      <c r="O190" t="s">
        <v>80</v>
      </c>
    </row>
    <row r="191" spans="1:15" x14ac:dyDescent="0.25">
      <c r="A191">
        <v>18039</v>
      </c>
      <c r="B191" t="s">
        <v>14</v>
      </c>
      <c r="C191" t="s">
        <v>25</v>
      </c>
      <c r="D191" t="str">
        <f>IFERROR(INDEX(Sheet2!$B$2:$B$1132,MATCH(Sheet1!C191,Sheet1!$C$2:$C$1132,0)),"IDK")</f>
        <v>SOCIAL</v>
      </c>
      <c r="E191" t="s">
        <v>48</v>
      </c>
      <c r="F191" t="s">
        <v>54</v>
      </c>
      <c r="G191" s="1">
        <v>45304</v>
      </c>
      <c r="H191" t="s">
        <v>58</v>
      </c>
      <c r="I191" s="2" t="s">
        <v>129</v>
      </c>
      <c r="J191" s="2" t="s">
        <v>130</v>
      </c>
      <c r="K191">
        <f>IFERROR(INDEX(Sheet2!$C$2:$C$1132,MATCH(Sheet1!C191,Sheet1!$C$2:$C$1132,0)),"")</f>
        <v>30000</v>
      </c>
      <c r="L191">
        <f>IFERROR(INDEX(Sheet2!$D$2:$D$1132,MATCH(Sheet1!C191,$C$2:$C$1132,0)),"")</f>
        <v>60000</v>
      </c>
      <c r="M191" t="str">
        <f>IFERROR(INDEX($M$2:$M$1132,MATCH(B191,$B$2:$B$1132,0)),"")</f>
        <v>SQL, EXCEL, POWERBI, TABLEAU</v>
      </c>
      <c r="N191" t="s">
        <v>74</v>
      </c>
      <c r="O191" t="s">
        <v>77</v>
      </c>
    </row>
    <row r="192" spans="1:15" x14ac:dyDescent="0.25">
      <c r="A192">
        <v>18040</v>
      </c>
      <c r="B192" t="s">
        <v>14</v>
      </c>
      <c r="C192" t="s">
        <v>26</v>
      </c>
      <c r="D192" t="str">
        <f>IFERROR(INDEX(Sheet2!$B$2:$B$1132,MATCH(Sheet1!C192,Sheet1!$C$2:$C$1132,0)),"IDK")</f>
        <v>FINANCE</v>
      </c>
      <c r="E192" t="s">
        <v>48</v>
      </c>
      <c r="F192" t="s">
        <v>54</v>
      </c>
      <c r="G192" s="1">
        <v>45532</v>
      </c>
      <c r="H192" t="s">
        <v>58</v>
      </c>
      <c r="I192" s="2" t="s">
        <v>129</v>
      </c>
      <c r="J192" s="2" t="s">
        <v>130</v>
      </c>
      <c r="K192">
        <f>IFERROR(INDEX(Sheet2!$C$2:$C$1132,MATCH(Sheet1!C192,Sheet1!$C$2:$C$1132,0)),"")</f>
        <v>35000</v>
      </c>
      <c r="L192">
        <f>IFERROR(INDEX(Sheet2!$D$2:$D$1132,MATCH(Sheet1!C192,$C$2:$C$1132,0)),"")</f>
        <v>75000</v>
      </c>
      <c r="M192" t="str">
        <f>IFERROR(INDEX($M$2:$M$1132,MATCH(B192,$B$2:$B$1132,0)),"")</f>
        <v>SQL, EXCEL, POWERBI, TABLEAU</v>
      </c>
      <c r="N192" t="s">
        <v>74</v>
      </c>
      <c r="O192" t="s">
        <v>79</v>
      </c>
    </row>
    <row r="193" spans="1:15" x14ac:dyDescent="0.25">
      <c r="A193">
        <v>18041</v>
      </c>
      <c r="B193" t="s">
        <v>14</v>
      </c>
      <c r="C193" t="s">
        <v>27</v>
      </c>
      <c r="D193" t="str">
        <f>IFERROR(INDEX(Sheet2!$B$2:$B$1132,MATCH(Sheet1!C193,Sheet1!$C$2:$C$1132,0)),"IDK")</f>
        <v>IT</v>
      </c>
      <c r="E193" t="s">
        <v>48</v>
      </c>
      <c r="F193" t="s">
        <v>54</v>
      </c>
      <c r="G193" s="1">
        <v>45373</v>
      </c>
      <c r="H193" t="s">
        <v>58</v>
      </c>
      <c r="I193" s="2" t="s">
        <v>146</v>
      </c>
      <c r="J193" s="2" t="s">
        <v>147</v>
      </c>
      <c r="K193">
        <f>IFERROR(INDEX(Sheet2!$C$2:$C$1132,MATCH(Sheet1!C193,Sheet1!$C$2:$C$1132,0)),"")</f>
        <v>40000</v>
      </c>
      <c r="L193">
        <f>IFERROR(INDEX(Sheet2!$D$2:$D$1132,MATCH(Sheet1!C193,$C$2:$C$1132,0)),"")</f>
        <v>80000</v>
      </c>
      <c r="M193" t="str">
        <f>IFERROR(INDEX($M$2:$M$1132,MATCH(B193,$B$2:$B$1132,0)),"")</f>
        <v>SQL, EXCEL, POWERBI, TABLEAU</v>
      </c>
      <c r="N193" t="s">
        <v>74</v>
      </c>
      <c r="O193" t="s">
        <v>37</v>
      </c>
    </row>
    <row r="194" spans="1:15" x14ac:dyDescent="0.25">
      <c r="A194">
        <v>18042</v>
      </c>
      <c r="B194" t="s">
        <v>14</v>
      </c>
      <c r="C194" t="s">
        <v>28</v>
      </c>
      <c r="D194" t="str">
        <f>IFERROR(INDEX(Sheet2!$B$2:$B$1132,MATCH(Sheet1!C194,Sheet1!$C$2:$C$1132,0)),"IDK")</f>
        <v>IT</v>
      </c>
      <c r="E194" t="s">
        <v>48</v>
      </c>
      <c r="F194" t="s">
        <v>54</v>
      </c>
      <c r="G194" s="1">
        <v>45599</v>
      </c>
      <c r="H194" t="s">
        <v>58</v>
      </c>
      <c r="I194" s="2" t="s">
        <v>129</v>
      </c>
      <c r="J194" s="2" t="s">
        <v>130</v>
      </c>
      <c r="K194">
        <f>IFERROR(INDEX(Sheet2!$C$2:$C$1132,MATCH(Sheet1!C194,Sheet1!$C$2:$C$1132,0)),"")</f>
        <v>30000</v>
      </c>
      <c r="L194">
        <f>IFERROR(INDEX(Sheet2!$D$2:$D$1132,MATCH(Sheet1!C194,$C$2:$C$1132,0)),"")</f>
        <v>55000</v>
      </c>
      <c r="M194" t="str">
        <f>IFERROR(INDEX($M$2:$M$1132,MATCH(B194,$B$2:$B$1132,0)),"")</f>
        <v>SQL, EXCEL, POWERBI, TABLEAU</v>
      </c>
      <c r="N194" t="s">
        <v>74</v>
      </c>
      <c r="O194" t="s">
        <v>78</v>
      </c>
    </row>
    <row r="195" spans="1:15" x14ac:dyDescent="0.25">
      <c r="A195">
        <v>18043</v>
      </c>
      <c r="B195" t="s">
        <v>14</v>
      </c>
      <c r="C195" t="s">
        <v>29</v>
      </c>
      <c r="D195" t="str">
        <f>IFERROR(INDEX(Sheet2!$B$2:$B$1132,MATCH(Sheet1!C195,Sheet1!$C$2:$C$1132,0)),"IDK")</f>
        <v>IT</v>
      </c>
      <c r="E195" t="s">
        <v>48</v>
      </c>
      <c r="F195" t="s">
        <v>54</v>
      </c>
      <c r="G195" s="1">
        <v>45432</v>
      </c>
      <c r="H195" t="s">
        <v>58</v>
      </c>
      <c r="I195" s="2" t="s">
        <v>146</v>
      </c>
      <c r="J195" s="2" t="s">
        <v>147</v>
      </c>
      <c r="K195">
        <f>IFERROR(INDEX(Sheet2!$C$2:$C$1132,MATCH(Sheet1!C195,Sheet1!$C$2:$C$1132,0)),"")</f>
        <v>35000</v>
      </c>
      <c r="L195">
        <f>IFERROR(INDEX(Sheet2!$D$2:$D$1132,MATCH(Sheet1!C195,$C$2:$C$1132,0)),"")</f>
        <v>70000</v>
      </c>
      <c r="M195" t="str">
        <f>IFERROR(INDEX($M$2:$M$1132,MATCH(B195,$B$2:$B$1132,0)),"")</f>
        <v>SQL, EXCEL, POWERBI, TABLEAU</v>
      </c>
      <c r="N195" t="s">
        <v>74</v>
      </c>
      <c r="O195" t="s">
        <v>80</v>
      </c>
    </row>
    <row r="196" spans="1:15" x14ac:dyDescent="0.25">
      <c r="A196">
        <v>18044</v>
      </c>
      <c r="B196" t="s">
        <v>14</v>
      </c>
      <c r="C196" t="s">
        <v>23</v>
      </c>
      <c r="D196" t="str">
        <f>IFERROR(INDEX(Sheet2!$B$2:$B$1132,MATCH(Sheet1!C196,Sheet1!$C$2:$C$1132,0)),"IDK")</f>
        <v>IT</v>
      </c>
      <c r="E196" t="s">
        <v>48</v>
      </c>
      <c r="F196" t="s">
        <v>54</v>
      </c>
      <c r="G196" s="1">
        <v>45340</v>
      </c>
      <c r="H196" t="s">
        <v>58</v>
      </c>
      <c r="I196" s="2" t="s">
        <v>131</v>
      </c>
      <c r="J196" s="2" t="s">
        <v>132</v>
      </c>
      <c r="K196">
        <f>IFERROR(INDEX(Sheet2!$C$2:$C$1132,MATCH(Sheet1!C196,Sheet1!$C$2:$C$1132,0)),"")</f>
        <v>35000</v>
      </c>
      <c r="L196">
        <f>IFERROR(INDEX(Sheet2!$D$2:$D$1132,MATCH(Sheet1!C196,$C$2:$C$1132,0)),"")</f>
        <v>70000</v>
      </c>
      <c r="M196" t="str">
        <f>IFERROR(INDEX($M$2:$M$1132,MATCH(B196,$B$2:$B$1132,0)),"")</f>
        <v>SQL, EXCEL, POWERBI, TABLEAU</v>
      </c>
      <c r="N196" t="s">
        <v>74</v>
      </c>
      <c r="O196" t="s">
        <v>79</v>
      </c>
    </row>
    <row r="197" spans="1:15" x14ac:dyDescent="0.25">
      <c r="A197">
        <v>18045</v>
      </c>
      <c r="B197" t="s">
        <v>14</v>
      </c>
      <c r="C197" t="s">
        <v>30</v>
      </c>
      <c r="D197" t="str">
        <f>IFERROR(INDEX(Sheet2!$B$2:$B$1132,MATCH(Sheet1!C197,Sheet1!$C$2:$C$1132,0)),"IDK")</f>
        <v>IT</v>
      </c>
      <c r="E197" t="s">
        <v>48</v>
      </c>
      <c r="F197" t="s">
        <v>54</v>
      </c>
      <c r="G197" s="1">
        <v>45401</v>
      </c>
      <c r="H197" t="s">
        <v>58</v>
      </c>
      <c r="I197" s="2" t="s">
        <v>136</v>
      </c>
      <c r="J197" s="2" t="s">
        <v>137</v>
      </c>
      <c r="K197">
        <f>IFERROR(INDEX(Sheet2!$C$2:$C$1132,MATCH(Sheet1!C197,Sheet1!$C$2:$C$1132,0)),"")</f>
        <v>25000</v>
      </c>
      <c r="L197">
        <f>IFERROR(INDEX(Sheet2!$D$2:$D$1132,MATCH(Sheet1!C197,$C$2:$C$1132,0)),"")</f>
        <v>60000</v>
      </c>
      <c r="M197" t="str">
        <f>IFERROR(INDEX($M$2:$M$1132,MATCH(B197,$B$2:$B$1132,0)),"")</f>
        <v>SQL, EXCEL, POWERBI, TABLEAU</v>
      </c>
      <c r="N197" t="s">
        <v>74</v>
      </c>
      <c r="O197" t="s">
        <v>37</v>
      </c>
    </row>
    <row r="198" spans="1:15" x14ac:dyDescent="0.25">
      <c r="A198">
        <v>18046</v>
      </c>
      <c r="B198" t="s">
        <v>14</v>
      </c>
      <c r="C198" t="s">
        <v>31</v>
      </c>
      <c r="D198" t="str">
        <f>IFERROR(INDEX(Sheet2!$B$2:$B$1132,MATCH(Sheet1!C198,Sheet1!$C$2:$C$1132,0)),"IDK")</f>
        <v>IT</v>
      </c>
      <c r="E198" t="s">
        <v>48</v>
      </c>
      <c r="F198" t="s">
        <v>54</v>
      </c>
      <c r="G198" s="1">
        <v>45474</v>
      </c>
      <c r="H198" t="s">
        <v>58</v>
      </c>
      <c r="I198" s="2" t="s">
        <v>140</v>
      </c>
      <c r="J198" s="2" t="s">
        <v>141</v>
      </c>
      <c r="K198">
        <f>IFERROR(INDEX(Sheet2!$C$2:$C$1132,MATCH(Sheet1!C198,Sheet1!$C$2:$C$1132,0)),"")</f>
        <v>25000</v>
      </c>
      <c r="L198">
        <f>IFERROR(INDEX(Sheet2!$D$2:$D$1132,MATCH(Sheet1!C198,$C$2:$C$1132,0)),"")</f>
        <v>75000</v>
      </c>
      <c r="M198" t="str">
        <f>IFERROR(INDEX($M$2:$M$1132,MATCH(B198,$B$2:$B$1132,0)),"")</f>
        <v>SQL, EXCEL, POWERBI, TABLEAU</v>
      </c>
      <c r="N198" t="s">
        <v>74</v>
      </c>
      <c r="O198" t="s">
        <v>78</v>
      </c>
    </row>
    <row r="199" spans="1:15" x14ac:dyDescent="0.25">
      <c r="A199">
        <v>18047</v>
      </c>
      <c r="B199" t="s">
        <v>14</v>
      </c>
      <c r="C199" t="s">
        <v>32</v>
      </c>
      <c r="D199" t="str">
        <f>IFERROR(INDEX(Sheet2!$B$2:$B$1132,MATCH(Sheet1!C199,Sheet1!$C$2:$C$1132,0)),"IDK")</f>
        <v>SOCIAL</v>
      </c>
      <c r="E199" t="s">
        <v>48</v>
      </c>
      <c r="F199" t="s">
        <v>54</v>
      </c>
      <c r="G199" s="1">
        <v>45655</v>
      </c>
      <c r="H199" t="s">
        <v>58</v>
      </c>
      <c r="I199" s="2" t="s">
        <v>133</v>
      </c>
      <c r="J199" s="2" t="s">
        <v>134</v>
      </c>
      <c r="K199">
        <f>IFERROR(INDEX(Sheet2!$C$2:$C$1132,MATCH(Sheet1!C199,Sheet1!$C$2:$C$1132,0)),"")</f>
        <v>20000</v>
      </c>
      <c r="L199">
        <f>IFERROR(INDEX(Sheet2!$D$2:$D$1132,MATCH(Sheet1!C199,$C$2:$C$1132,0)),"")</f>
        <v>70000</v>
      </c>
      <c r="M199" t="str">
        <f>IFERROR(INDEX($M$2:$M$1132,MATCH(B199,$B$2:$B$1132,0)),"")</f>
        <v>SQL, EXCEL, POWERBI, TABLEAU</v>
      </c>
      <c r="N199" t="s">
        <v>74</v>
      </c>
      <c r="O199" t="s">
        <v>79</v>
      </c>
    </row>
    <row r="200" spans="1:15" x14ac:dyDescent="0.25">
      <c r="A200">
        <v>18048</v>
      </c>
      <c r="B200" t="s">
        <v>14</v>
      </c>
      <c r="C200" t="s">
        <v>33</v>
      </c>
      <c r="D200" t="str">
        <f>IFERROR(INDEX(Sheet2!$B$2:$B$1132,MATCH(Sheet1!C200,Sheet1!$C$2:$C$1132,0)),"IDK")</f>
        <v>FINANCE</v>
      </c>
      <c r="E200" t="s">
        <v>48</v>
      </c>
      <c r="F200" t="s">
        <v>54</v>
      </c>
      <c r="G200" s="1">
        <v>45606</v>
      </c>
      <c r="H200" t="s">
        <v>58</v>
      </c>
      <c r="I200" s="2" t="s">
        <v>138</v>
      </c>
      <c r="J200" s="2" t="s">
        <v>139</v>
      </c>
      <c r="K200">
        <f>IFERROR(INDEX(Sheet2!$C$2:$C$1132,MATCH(Sheet1!C200,Sheet1!$C$2:$C$1132,0)),"")</f>
        <v>40000</v>
      </c>
      <c r="L200">
        <f>IFERROR(INDEX(Sheet2!$D$2:$D$1132,MATCH(Sheet1!C200,$C$2:$C$1132,0)),"")</f>
        <v>85000</v>
      </c>
      <c r="M200" t="str">
        <f>IFERROR(INDEX($M$2:$M$1132,MATCH(B200,$B$2:$B$1132,0)),"")</f>
        <v>SQL, EXCEL, POWERBI, TABLEAU</v>
      </c>
      <c r="N200" t="s">
        <v>74</v>
      </c>
      <c r="O200" t="s">
        <v>80</v>
      </c>
    </row>
    <row r="201" spans="1:15" x14ac:dyDescent="0.25">
      <c r="A201">
        <v>18049</v>
      </c>
      <c r="B201" t="s">
        <v>14</v>
      </c>
      <c r="C201" t="s">
        <v>34</v>
      </c>
      <c r="D201" t="str">
        <f>IFERROR(INDEX(Sheet2!$B$2:$B$1132,MATCH(Sheet1!C201,Sheet1!$C$2:$C$1132,0)),"IDK")</f>
        <v>IT</v>
      </c>
      <c r="E201" t="s">
        <v>48</v>
      </c>
      <c r="F201" t="s">
        <v>54</v>
      </c>
      <c r="G201" s="1">
        <v>45315</v>
      </c>
      <c r="H201" t="s">
        <v>58</v>
      </c>
      <c r="I201" s="2" t="s">
        <v>142</v>
      </c>
      <c r="J201" s="2" t="s">
        <v>143</v>
      </c>
      <c r="K201">
        <f>IFERROR(INDEX(Sheet2!$C$2:$C$1132,MATCH(Sheet1!C201,Sheet1!$C$2:$C$1132,0)),"")</f>
        <v>35000</v>
      </c>
      <c r="L201">
        <f>IFERROR(INDEX(Sheet2!$D$2:$D$1132,MATCH(Sheet1!C201,$C$2:$C$1132,0)),"")</f>
        <v>90000</v>
      </c>
      <c r="M201" t="str">
        <f>IFERROR(INDEX($M$2:$M$1132,MATCH(B201,$B$2:$B$1132,0)),"")</f>
        <v>SQL, EXCEL, POWERBI, TABLEAU</v>
      </c>
      <c r="N201" t="s">
        <v>74</v>
      </c>
      <c r="O201" t="s">
        <v>77</v>
      </c>
    </row>
    <row r="202" spans="1:15" x14ac:dyDescent="0.25">
      <c r="A202">
        <v>18050</v>
      </c>
      <c r="B202" t="s">
        <v>14</v>
      </c>
      <c r="C202" t="s">
        <v>35</v>
      </c>
      <c r="D202" t="str">
        <f>IFERROR(INDEX(Sheet2!$B$2:$B$1132,MATCH(Sheet1!C202,Sheet1!$C$2:$C$1132,0)),"IDK")</f>
        <v>SOCIAL</v>
      </c>
      <c r="E202" t="s">
        <v>48</v>
      </c>
      <c r="F202" t="s">
        <v>54</v>
      </c>
      <c r="G202" s="1">
        <v>45372</v>
      </c>
      <c r="H202" t="s">
        <v>58</v>
      </c>
      <c r="I202" s="2" t="s">
        <v>129</v>
      </c>
      <c r="J202" s="2" t="s">
        <v>130</v>
      </c>
      <c r="K202">
        <f>IFERROR(INDEX(Sheet2!$C$2:$C$1132,MATCH(Sheet1!C202,Sheet1!$C$2:$C$1132,0)),"")</f>
        <v>30000</v>
      </c>
      <c r="L202">
        <f>IFERROR(INDEX(Sheet2!$D$2:$D$1132,MATCH(Sheet1!C202,$C$2:$C$1132,0)),"")</f>
        <v>95000</v>
      </c>
      <c r="M202" t="str">
        <f>IFERROR(INDEX($M$2:$M$1132,MATCH(B202,$B$2:$B$1132,0)),"")</f>
        <v>SQL, EXCEL, POWERBI, TABLEAU</v>
      </c>
      <c r="N202" t="s">
        <v>74</v>
      </c>
      <c r="O202" t="s">
        <v>79</v>
      </c>
    </row>
    <row r="203" spans="1:15" x14ac:dyDescent="0.25">
      <c r="A203">
        <v>18051</v>
      </c>
      <c r="B203" t="s">
        <v>14</v>
      </c>
      <c r="C203" t="s">
        <v>36</v>
      </c>
      <c r="D203" t="str">
        <f>IFERROR(INDEX(Sheet2!$B$2:$B$1132,MATCH(Sheet1!C203,Sheet1!$C$2:$C$1132,0)),"IDK")</f>
        <v>IT</v>
      </c>
      <c r="E203" t="s">
        <v>48</v>
      </c>
      <c r="F203" t="s">
        <v>54</v>
      </c>
      <c r="G203" s="1">
        <v>45395</v>
      </c>
      <c r="H203" t="s">
        <v>58</v>
      </c>
      <c r="I203" s="2" t="s">
        <v>146</v>
      </c>
      <c r="J203" s="2" t="s">
        <v>147</v>
      </c>
      <c r="K203">
        <f>IFERROR(INDEX(Sheet2!$C$2:$C$1132,MATCH(Sheet1!C203,Sheet1!$C$2:$C$1132,0)),"")</f>
        <v>50000</v>
      </c>
      <c r="L203">
        <f>IFERROR(INDEX(Sheet2!$D$2:$D$1132,MATCH(Sheet1!C203,$C$2:$C$1132,0)),"")</f>
        <v>100000</v>
      </c>
      <c r="M203" t="str">
        <f>IFERROR(INDEX($M$2:$M$1132,MATCH(B203,$B$2:$B$1132,0)),"")</f>
        <v>SQL, EXCEL, POWERBI, TABLEAU</v>
      </c>
      <c r="N203" t="s">
        <v>74</v>
      </c>
      <c r="O203" t="s">
        <v>37</v>
      </c>
    </row>
    <row r="204" spans="1:15" x14ac:dyDescent="0.25">
      <c r="A204">
        <v>18052</v>
      </c>
      <c r="B204" t="s">
        <v>14</v>
      </c>
      <c r="C204" t="s">
        <v>27</v>
      </c>
      <c r="D204" t="str">
        <f>IFERROR(INDEX(Sheet2!$B$2:$B$1132,MATCH(Sheet1!C204,Sheet1!$C$2:$C$1132,0)),"IDK")</f>
        <v>IT</v>
      </c>
      <c r="E204" t="s">
        <v>48</v>
      </c>
      <c r="F204" t="s">
        <v>54</v>
      </c>
      <c r="G204" s="1">
        <v>45424</v>
      </c>
      <c r="H204" t="s">
        <v>58</v>
      </c>
      <c r="I204" s="2" t="s">
        <v>136</v>
      </c>
      <c r="J204" s="2" t="s">
        <v>137</v>
      </c>
      <c r="K204">
        <f>IFERROR(INDEX(Sheet2!$C$2:$C$1132,MATCH(Sheet1!C204,Sheet1!$C$2:$C$1132,0)),"")</f>
        <v>40000</v>
      </c>
      <c r="L204">
        <f>IFERROR(INDEX(Sheet2!$D$2:$D$1132,MATCH(Sheet1!C204,$C$2:$C$1132,0)),"")</f>
        <v>80000</v>
      </c>
      <c r="M204" t="str">
        <f>IFERROR(INDEX($M$2:$M$1132,MATCH(B204,$B$2:$B$1132,0)),"")</f>
        <v>SQL, EXCEL, POWERBI, TABLEAU</v>
      </c>
      <c r="N204" t="s">
        <v>74</v>
      </c>
      <c r="O204" t="s">
        <v>78</v>
      </c>
    </row>
    <row r="205" spans="1:15" x14ac:dyDescent="0.25">
      <c r="A205">
        <v>18053</v>
      </c>
      <c r="B205" t="s">
        <v>14</v>
      </c>
      <c r="C205" t="s">
        <v>28</v>
      </c>
      <c r="D205" t="str">
        <f>IFERROR(INDEX(Sheet2!$B$2:$B$1132,MATCH(Sheet1!C205,Sheet1!$C$2:$C$1132,0)),"IDK")</f>
        <v>IT</v>
      </c>
      <c r="E205" t="s">
        <v>48</v>
      </c>
      <c r="F205" t="s">
        <v>54</v>
      </c>
      <c r="G205" s="1">
        <v>45651</v>
      </c>
      <c r="H205" t="s">
        <v>58</v>
      </c>
      <c r="I205" s="2" t="s">
        <v>131</v>
      </c>
      <c r="J205" s="2" t="s">
        <v>132</v>
      </c>
      <c r="K205">
        <f>IFERROR(INDEX(Sheet2!$C$2:$C$1132,MATCH(Sheet1!C205,Sheet1!$C$2:$C$1132,0)),"")</f>
        <v>30000</v>
      </c>
      <c r="L205">
        <f>IFERROR(INDEX(Sheet2!$D$2:$D$1132,MATCH(Sheet1!C205,$C$2:$C$1132,0)),"")</f>
        <v>55000</v>
      </c>
      <c r="M205" t="str">
        <f>IFERROR(INDEX($M$2:$M$1132,MATCH(B205,$B$2:$B$1132,0)),"")</f>
        <v>SQL, EXCEL, POWERBI, TABLEAU</v>
      </c>
      <c r="N205" t="s">
        <v>74</v>
      </c>
      <c r="O205" t="s">
        <v>78</v>
      </c>
    </row>
    <row r="206" spans="1:15" x14ac:dyDescent="0.25">
      <c r="A206">
        <v>18054</v>
      </c>
      <c r="B206" t="s">
        <v>14</v>
      </c>
      <c r="C206" t="s">
        <v>29</v>
      </c>
      <c r="D206" t="str">
        <f>IFERROR(INDEX(Sheet2!$B$2:$B$1132,MATCH(Sheet1!C206,Sheet1!$C$2:$C$1132,0)),"IDK")</f>
        <v>IT</v>
      </c>
      <c r="E206" t="s">
        <v>48</v>
      </c>
      <c r="F206" t="s">
        <v>54</v>
      </c>
      <c r="G206" s="1">
        <v>45501</v>
      </c>
      <c r="H206" t="s">
        <v>58</v>
      </c>
      <c r="I206" s="2" t="s">
        <v>131</v>
      </c>
      <c r="J206" s="2" t="s">
        <v>132</v>
      </c>
      <c r="K206">
        <f>IFERROR(INDEX(Sheet2!$C$2:$C$1132,MATCH(Sheet1!C206,Sheet1!$C$2:$C$1132,0)),"")</f>
        <v>35000</v>
      </c>
      <c r="L206">
        <f>IFERROR(INDEX(Sheet2!$D$2:$D$1132,MATCH(Sheet1!C206,$C$2:$C$1132,0)),"")</f>
        <v>70000</v>
      </c>
      <c r="M206" t="str">
        <f>IFERROR(INDEX($M$2:$M$1132,MATCH(B206,$B$2:$B$1132,0)),"")</f>
        <v>SQL, EXCEL, POWERBI, TABLEAU</v>
      </c>
      <c r="N206" t="s">
        <v>74</v>
      </c>
      <c r="O206" t="s">
        <v>79</v>
      </c>
    </row>
    <row r="207" spans="1:15" x14ac:dyDescent="0.25">
      <c r="A207">
        <v>18055</v>
      </c>
      <c r="B207" t="s">
        <v>14</v>
      </c>
      <c r="C207" t="s">
        <v>23</v>
      </c>
      <c r="D207" t="str">
        <f>IFERROR(INDEX(Sheet2!$B$2:$B$1132,MATCH(Sheet1!C207,Sheet1!$C$2:$C$1132,0)),"IDK")</f>
        <v>IT</v>
      </c>
      <c r="E207" t="s">
        <v>48</v>
      </c>
      <c r="F207" t="s">
        <v>54</v>
      </c>
      <c r="G207" s="1">
        <v>45451</v>
      </c>
      <c r="H207" t="s">
        <v>58</v>
      </c>
      <c r="I207" s="2" t="s">
        <v>131</v>
      </c>
      <c r="J207" s="2" t="s">
        <v>132</v>
      </c>
      <c r="K207">
        <f>IFERROR(INDEX(Sheet2!$C$2:$C$1132,MATCH(Sheet1!C207,Sheet1!$C$2:$C$1132,0)),"")</f>
        <v>35000</v>
      </c>
      <c r="L207">
        <f>IFERROR(INDEX(Sheet2!$D$2:$D$1132,MATCH(Sheet1!C207,$C$2:$C$1132,0)),"")</f>
        <v>70000</v>
      </c>
      <c r="M207" t="str">
        <f>IFERROR(INDEX($M$2:$M$1132,MATCH(B207,$B$2:$B$1132,0)),"")</f>
        <v>SQL, EXCEL, POWERBI, TABLEAU</v>
      </c>
      <c r="N207" t="s">
        <v>74</v>
      </c>
      <c r="O207" t="s">
        <v>80</v>
      </c>
    </row>
    <row r="208" spans="1:15" x14ac:dyDescent="0.25">
      <c r="A208">
        <v>18056</v>
      </c>
      <c r="B208" t="s">
        <v>14</v>
      </c>
      <c r="C208" t="s">
        <v>30</v>
      </c>
      <c r="D208" t="str">
        <f>IFERROR(INDEX(Sheet2!$B$2:$B$1132,MATCH(Sheet1!C208,Sheet1!$C$2:$C$1132,0)),"IDK")</f>
        <v>IT</v>
      </c>
      <c r="E208" t="s">
        <v>48</v>
      </c>
      <c r="F208" t="s">
        <v>54</v>
      </c>
      <c r="G208" s="1">
        <v>45395</v>
      </c>
      <c r="H208" t="s">
        <v>58</v>
      </c>
      <c r="I208" s="2" t="s">
        <v>136</v>
      </c>
      <c r="J208" s="2" t="s">
        <v>137</v>
      </c>
      <c r="K208">
        <f>IFERROR(INDEX(Sheet2!$C$2:$C$1132,MATCH(Sheet1!C208,Sheet1!$C$2:$C$1132,0)),"")</f>
        <v>25000</v>
      </c>
      <c r="L208">
        <f>IFERROR(INDEX(Sheet2!$D$2:$D$1132,MATCH(Sheet1!C208,$C$2:$C$1132,0)),"")</f>
        <v>60000</v>
      </c>
      <c r="M208" t="str">
        <f>IFERROR(INDEX($M$2:$M$1132,MATCH(B208,$B$2:$B$1132,0)),"")</f>
        <v>SQL, EXCEL, POWERBI, TABLEAU</v>
      </c>
      <c r="N208" t="s">
        <v>74</v>
      </c>
      <c r="O208" t="s">
        <v>77</v>
      </c>
    </row>
    <row r="209" spans="1:15" x14ac:dyDescent="0.25">
      <c r="A209">
        <v>18057</v>
      </c>
      <c r="B209" t="s">
        <v>14</v>
      </c>
      <c r="C209" t="s">
        <v>31</v>
      </c>
      <c r="D209" t="str">
        <f>IFERROR(INDEX(Sheet2!$B$2:$B$1132,MATCH(Sheet1!C209,Sheet1!$C$2:$C$1132,0)),"IDK")</f>
        <v>IT</v>
      </c>
      <c r="E209" t="s">
        <v>48</v>
      </c>
      <c r="F209" t="s">
        <v>54</v>
      </c>
      <c r="G209" s="1">
        <v>45565</v>
      </c>
      <c r="H209" t="s">
        <v>58</v>
      </c>
      <c r="I209" s="2" t="s">
        <v>136</v>
      </c>
      <c r="J209" s="2" t="s">
        <v>137</v>
      </c>
      <c r="K209">
        <f>IFERROR(INDEX(Sheet2!$C$2:$C$1132,MATCH(Sheet1!C209,Sheet1!$C$2:$C$1132,0)),"")</f>
        <v>25000</v>
      </c>
      <c r="L209">
        <f>IFERROR(INDEX(Sheet2!$D$2:$D$1132,MATCH(Sheet1!C209,$C$2:$C$1132,0)),"")</f>
        <v>75000</v>
      </c>
      <c r="M209" t="str">
        <f>IFERROR(INDEX($M$2:$M$1132,MATCH(B209,$B$2:$B$1132,0)),"")</f>
        <v>SQL, EXCEL, POWERBI, TABLEAU</v>
      </c>
      <c r="N209" t="s">
        <v>74</v>
      </c>
      <c r="O209" t="s">
        <v>79</v>
      </c>
    </row>
    <row r="210" spans="1:15" x14ac:dyDescent="0.25">
      <c r="A210">
        <v>18058</v>
      </c>
      <c r="B210" t="s">
        <v>14</v>
      </c>
      <c r="C210" t="s">
        <v>32</v>
      </c>
      <c r="D210" t="str">
        <f>IFERROR(INDEX(Sheet2!$B$2:$B$1132,MATCH(Sheet1!C210,Sheet1!$C$2:$C$1132,0)),"IDK")</f>
        <v>SOCIAL</v>
      </c>
      <c r="E210" t="s">
        <v>48</v>
      </c>
      <c r="F210" t="s">
        <v>54</v>
      </c>
      <c r="G210" s="1">
        <v>45616</v>
      </c>
      <c r="H210" t="s">
        <v>58</v>
      </c>
      <c r="I210" s="2" t="s">
        <v>136</v>
      </c>
      <c r="J210" s="2" t="s">
        <v>137</v>
      </c>
      <c r="K210">
        <f>IFERROR(INDEX(Sheet2!$C$2:$C$1132,MATCH(Sheet1!C210,Sheet1!$C$2:$C$1132,0)),"")</f>
        <v>20000</v>
      </c>
      <c r="L210">
        <f>IFERROR(INDEX(Sheet2!$D$2:$D$1132,MATCH(Sheet1!C210,$C$2:$C$1132,0)),"")</f>
        <v>70000</v>
      </c>
      <c r="M210" t="str">
        <f>IFERROR(INDEX($M$2:$M$1132,MATCH(B210,$B$2:$B$1132,0)),"")</f>
        <v>SQL, EXCEL, POWERBI, TABLEAU</v>
      </c>
      <c r="N210" t="s">
        <v>74</v>
      </c>
      <c r="O210" t="s">
        <v>37</v>
      </c>
    </row>
    <row r="211" spans="1:15" x14ac:dyDescent="0.25">
      <c r="A211">
        <v>18059</v>
      </c>
      <c r="B211" t="s">
        <v>14</v>
      </c>
      <c r="C211" t="s">
        <v>33</v>
      </c>
      <c r="D211" t="str">
        <f>IFERROR(INDEX(Sheet2!$B$2:$B$1132,MATCH(Sheet1!C211,Sheet1!$C$2:$C$1132,0)),"IDK")</f>
        <v>FINANCE</v>
      </c>
      <c r="E211" t="s">
        <v>48</v>
      </c>
      <c r="F211" t="s">
        <v>54</v>
      </c>
      <c r="G211" s="1">
        <v>45508</v>
      </c>
      <c r="H211" t="s">
        <v>58</v>
      </c>
      <c r="I211" s="2" t="s">
        <v>136</v>
      </c>
      <c r="J211" s="2" t="s">
        <v>137</v>
      </c>
      <c r="K211">
        <f>IFERROR(INDEX(Sheet2!$C$2:$C$1132,MATCH(Sheet1!C211,Sheet1!$C$2:$C$1132,0)),"")</f>
        <v>40000</v>
      </c>
      <c r="L211">
        <f>IFERROR(INDEX(Sheet2!$D$2:$D$1132,MATCH(Sheet1!C211,$C$2:$C$1132,0)),"")</f>
        <v>85000</v>
      </c>
      <c r="M211" t="str">
        <f>IFERROR(INDEX($M$2:$M$1132,MATCH(B211,$B$2:$B$1132,0)),"")</f>
        <v>SQL, EXCEL, POWERBI, TABLEAU</v>
      </c>
      <c r="N211" t="s">
        <v>74</v>
      </c>
      <c r="O211" t="s">
        <v>78</v>
      </c>
    </row>
    <row r="212" spans="1:15" x14ac:dyDescent="0.25">
      <c r="A212">
        <v>18060</v>
      </c>
      <c r="B212" t="s">
        <v>14</v>
      </c>
      <c r="C212" t="s">
        <v>23</v>
      </c>
      <c r="D212" t="str">
        <f>IFERROR(INDEX(Sheet2!$B$2:$B$1132,MATCH(Sheet1!C212,Sheet1!$C$2:$C$1132,0)),"IDK")</f>
        <v>IT</v>
      </c>
      <c r="E212" t="s">
        <v>48</v>
      </c>
      <c r="F212" t="s">
        <v>54</v>
      </c>
      <c r="G212" s="1">
        <v>45354</v>
      </c>
      <c r="H212" t="s">
        <v>58</v>
      </c>
      <c r="I212" s="2" t="s">
        <v>146</v>
      </c>
      <c r="J212" s="2" t="s">
        <v>147</v>
      </c>
      <c r="K212">
        <f>IFERROR(INDEX(Sheet2!$C$2:$C$1132,MATCH(Sheet1!C212,Sheet1!$C$2:$C$1132,0)),"")</f>
        <v>35000</v>
      </c>
      <c r="L212">
        <f>IFERROR(INDEX(Sheet2!$D$2:$D$1132,MATCH(Sheet1!C212,$C$2:$C$1132,0)),"")</f>
        <v>70000</v>
      </c>
      <c r="M212" t="str">
        <f>IFERROR(INDEX($M$2:$M$1132,MATCH(B212,$B$2:$B$1132,0)),"")</f>
        <v>SQL, EXCEL, POWERBI, TABLEAU</v>
      </c>
      <c r="N212" t="s">
        <v>74</v>
      </c>
      <c r="O212" t="s">
        <v>80</v>
      </c>
    </row>
    <row r="213" spans="1:15" x14ac:dyDescent="0.25">
      <c r="A213">
        <v>18061</v>
      </c>
      <c r="B213" t="s">
        <v>14</v>
      </c>
      <c r="C213" t="s">
        <v>24</v>
      </c>
      <c r="D213" t="str">
        <f>IFERROR(INDEX(Sheet2!$B$2:$B$1132,MATCH(Sheet1!C213,Sheet1!$C$2:$C$1132,0)),"IDK")</f>
        <v>HEALTH</v>
      </c>
      <c r="E213" t="s">
        <v>48</v>
      </c>
      <c r="F213" t="s">
        <v>54</v>
      </c>
      <c r="G213" s="1">
        <v>45391</v>
      </c>
      <c r="H213" t="s">
        <v>58</v>
      </c>
      <c r="I213" s="2" t="s">
        <v>146</v>
      </c>
      <c r="J213" s="2" t="s">
        <v>147</v>
      </c>
      <c r="K213">
        <f>IFERROR(INDEX(Sheet2!$C$2:$C$1132,MATCH(Sheet1!C213,Sheet1!$C$2:$C$1132,0)),"")</f>
        <v>25000</v>
      </c>
      <c r="L213">
        <f>IFERROR(INDEX(Sheet2!$D$2:$D$1132,MATCH(Sheet1!C213,$C$2:$C$1132,0)),"")</f>
        <v>50000</v>
      </c>
      <c r="M213" t="str">
        <f>IFERROR(INDEX($M$2:$M$1132,MATCH(B213,$B$2:$B$1132,0)),"")</f>
        <v>SQL, EXCEL, POWERBI, TABLEAU</v>
      </c>
      <c r="N213" t="s">
        <v>74</v>
      </c>
      <c r="O213" t="s">
        <v>79</v>
      </c>
    </row>
    <row r="214" spans="1:15" x14ac:dyDescent="0.25">
      <c r="A214">
        <v>18062</v>
      </c>
      <c r="B214" t="s">
        <v>14</v>
      </c>
      <c r="C214" t="s">
        <v>25</v>
      </c>
      <c r="D214" t="str">
        <f>IFERROR(INDEX(Sheet2!$B$2:$B$1132,MATCH(Sheet1!C214,Sheet1!$C$2:$C$1132,0)),"IDK")</f>
        <v>SOCIAL</v>
      </c>
      <c r="E214" t="s">
        <v>48</v>
      </c>
      <c r="F214" t="s">
        <v>54</v>
      </c>
      <c r="G214" s="1">
        <v>45517</v>
      </c>
      <c r="H214" t="s">
        <v>58</v>
      </c>
      <c r="I214" s="2" t="s">
        <v>146</v>
      </c>
      <c r="J214" s="2" t="s">
        <v>147</v>
      </c>
      <c r="K214">
        <f>IFERROR(INDEX(Sheet2!$C$2:$C$1132,MATCH(Sheet1!C214,Sheet1!$C$2:$C$1132,0)),"")</f>
        <v>30000</v>
      </c>
      <c r="L214">
        <f>IFERROR(INDEX(Sheet2!$D$2:$D$1132,MATCH(Sheet1!C214,$C$2:$C$1132,0)),"")</f>
        <v>60000</v>
      </c>
      <c r="M214" t="str">
        <f>IFERROR(INDEX($M$2:$M$1132,MATCH(B214,$B$2:$B$1132,0)),"")</f>
        <v>SQL, EXCEL, POWERBI, TABLEAU</v>
      </c>
      <c r="N214" t="s">
        <v>75</v>
      </c>
      <c r="O214" t="s">
        <v>37</v>
      </c>
    </row>
    <row r="215" spans="1:15" x14ac:dyDescent="0.25">
      <c r="A215">
        <v>18063</v>
      </c>
      <c r="B215" t="s">
        <v>14</v>
      </c>
      <c r="C215" t="s">
        <v>26</v>
      </c>
      <c r="D215" t="str">
        <f>IFERROR(INDEX(Sheet2!$B$2:$B$1132,MATCH(Sheet1!C215,Sheet1!$C$2:$C$1132,0)),"IDK")</f>
        <v>FINANCE</v>
      </c>
      <c r="E215" t="s">
        <v>48</v>
      </c>
      <c r="F215" t="s">
        <v>54</v>
      </c>
      <c r="G215" s="1">
        <v>45420</v>
      </c>
      <c r="H215" t="s">
        <v>58</v>
      </c>
      <c r="I215" s="2" t="s">
        <v>129</v>
      </c>
      <c r="J215" s="2" t="s">
        <v>130</v>
      </c>
      <c r="K215">
        <f>IFERROR(INDEX(Sheet2!$C$2:$C$1132,MATCH(Sheet1!C215,Sheet1!$C$2:$C$1132,0)),"")</f>
        <v>35000</v>
      </c>
      <c r="L215">
        <f>IFERROR(INDEX(Sheet2!$D$2:$D$1132,MATCH(Sheet1!C215,$C$2:$C$1132,0)),"")</f>
        <v>75000</v>
      </c>
      <c r="M215" t="str">
        <f>IFERROR(INDEX($M$2:$M$1132,MATCH(B215,$B$2:$B$1132,0)),"")</f>
        <v>SQL, EXCEL, POWERBI, TABLEAU</v>
      </c>
      <c r="N215" t="s">
        <v>75</v>
      </c>
      <c r="O215" t="s">
        <v>78</v>
      </c>
    </row>
    <row r="216" spans="1:15" x14ac:dyDescent="0.25">
      <c r="A216">
        <v>18064</v>
      </c>
      <c r="B216" t="s">
        <v>14</v>
      </c>
      <c r="C216" t="s">
        <v>37</v>
      </c>
      <c r="D216" t="s">
        <v>43</v>
      </c>
      <c r="E216" t="s">
        <v>48</v>
      </c>
      <c r="F216" t="s">
        <v>54</v>
      </c>
      <c r="G216" s="1">
        <v>45571</v>
      </c>
      <c r="H216" t="s">
        <v>58</v>
      </c>
      <c r="I216" s="2" t="s">
        <v>129</v>
      </c>
      <c r="J216" s="2" t="s">
        <v>130</v>
      </c>
      <c r="K216">
        <v>45000</v>
      </c>
      <c r="L216">
        <v>90000</v>
      </c>
      <c r="M216" t="str">
        <f>IFERROR(INDEX($M$2:$M$1132,MATCH(B216,$B$2:$B$1132,0)),"")</f>
        <v>SQL, EXCEL, POWERBI, TABLEAU</v>
      </c>
      <c r="N216" t="s">
        <v>75</v>
      </c>
      <c r="O216" t="s">
        <v>79</v>
      </c>
    </row>
    <row r="217" spans="1:15" x14ac:dyDescent="0.25">
      <c r="A217">
        <v>18065</v>
      </c>
      <c r="B217" t="s">
        <v>14</v>
      </c>
      <c r="C217" t="s">
        <v>38</v>
      </c>
      <c r="D217" t="s">
        <v>42</v>
      </c>
      <c r="E217" t="s">
        <v>48</v>
      </c>
      <c r="F217" t="s">
        <v>54</v>
      </c>
      <c r="G217" s="1">
        <v>45356</v>
      </c>
      <c r="H217" t="s">
        <v>58</v>
      </c>
      <c r="I217" s="2" t="s">
        <v>136</v>
      </c>
      <c r="J217" s="2" t="s">
        <v>137</v>
      </c>
      <c r="K217">
        <v>20000</v>
      </c>
      <c r="L217">
        <v>80000</v>
      </c>
      <c r="M217" t="str">
        <f>IFERROR(INDEX($M$2:$M$1132,MATCH(B217,$B$2:$B$1132,0)),"")</f>
        <v>SQL, EXCEL, POWERBI, TABLEAU</v>
      </c>
      <c r="N217" t="s">
        <v>75</v>
      </c>
      <c r="O217" t="s">
        <v>80</v>
      </c>
    </row>
    <row r="218" spans="1:15" x14ac:dyDescent="0.25">
      <c r="A218">
        <v>18066</v>
      </c>
      <c r="B218" t="s">
        <v>14</v>
      </c>
      <c r="C218" t="s">
        <v>39</v>
      </c>
      <c r="D218" t="s">
        <v>42</v>
      </c>
      <c r="E218" t="s">
        <v>48</v>
      </c>
      <c r="F218" t="s">
        <v>54</v>
      </c>
      <c r="G218" s="1">
        <v>45553</v>
      </c>
      <c r="H218" t="s">
        <v>58</v>
      </c>
      <c r="I218" s="2" t="s">
        <v>129</v>
      </c>
      <c r="J218" s="2" t="s">
        <v>130</v>
      </c>
      <c r="K218">
        <v>25000</v>
      </c>
      <c r="L218">
        <v>85000</v>
      </c>
      <c r="M218" t="str">
        <f>IFERROR(INDEX($M$2:$M$1132,MATCH(B218,$B$2:$B$1132,0)),"")</f>
        <v>SQL, EXCEL, POWERBI, TABLEAU</v>
      </c>
      <c r="N218" t="s">
        <v>75</v>
      </c>
      <c r="O218" t="s">
        <v>77</v>
      </c>
    </row>
    <row r="219" spans="1:15" x14ac:dyDescent="0.25">
      <c r="A219">
        <v>18067</v>
      </c>
      <c r="B219" t="s">
        <v>14</v>
      </c>
      <c r="C219" t="s">
        <v>23</v>
      </c>
      <c r="D219" t="str">
        <f>IFERROR(INDEX(Sheet2!$B$2:$B$1132,MATCH(Sheet1!C219,Sheet1!$C$2:$C$1132,0)),"IDK")</f>
        <v>IT</v>
      </c>
      <c r="E219" t="s">
        <v>48</v>
      </c>
      <c r="F219" t="s">
        <v>54</v>
      </c>
      <c r="G219" s="1">
        <v>45602</v>
      </c>
      <c r="H219" t="s">
        <v>58</v>
      </c>
      <c r="I219" s="2" t="s">
        <v>138</v>
      </c>
      <c r="J219" s="2" t="s">
        <v>148</v>
      </c>
      <c r="K219">
        <f>IFERROR(INDEX(Sheet2!$C$2:$C$1132,MATCH(Sheet1!C219,Sheet1!$C$2:$C$1132,0)),"")</f>
        <v>35000</v>
      </c>
      <c r="L219">
        <f>IFERROR(INDEX(Sheet2!$D$2:$D$1132,MATCH(Sheet1!C219,$C$2:$C$1132,0)),"")</f>
        <v>70000</v>
      </c>
      <c r="M219" t="str">
        <f>IFERROR(INDEX($M$2:$M$1132,MATCH(B219,$B$2:$B$1132,0)),"")</f>
        <v>SQL, EXCEL, POWERBI, TABLEAU</v>
      </c>
      <c r="N219" t="s">
        <v>75</v>
      </c>
      <c r="O219" t="s">
        <v>79</v>
      </c>
    </row>
    <row r="220" spans="1:15" x14ac:dyDescent="0.25">
      <c r="A220">
        <v>18068</v>
      </c>
      <c r="B220" t="s">
        <v>14</v>
      </c>
      <c r="C220" t="s">
        <v>30</v>
      </c>
      <c r="D220" t="str">
        <f>IFERROR(INDEX(Sheet2!$B$2:$B$1132,MATCH(Sheet1!C220,Sheet1!$C$2:$C$1132,0)),"IDK")</f>
        <v>IT</v>
      </c>
      <c r="E220" t="s">
        <v>48</v>
      </c>
      <c r="F220" t="s">
        <v>54</v>
      </c>
      <c r="G220" s="1">
        <v>45596</v>
      </c>
      <c r="H220" t="s">
        <v>58</v>
      </c>
      <c r="I220" s="2" t="s">
        <v>138</v>
      </c>
      <c r="J220" s="2" t="s">
        <v>148</v>
      </c>
      <c r="K220">
        <f>IFERROR(INDEX(Sheet2!$C$2:$C$1132,MATCH(Sheet1!C220,Sheet1!$C$2:$C$1132,0)),"")</f>
        <v>25000</v>
      </c>
      <c r="L220">
        <f>IFERROR(INDEX(Sheet2!$D$2:$D$1132,MATCH(Sheet1!C220,$C$2:$C$1132,0)),"")</f>
        <v>60000</v>
      </c>
      <c r="M220" t="str">
        <f>IFERROR(INDEX($M$2:$M$1132,MATCH(B220,$B$2:$B$1132,0)),"")</f>
        <v>SQL, EXCEL, POWERBI, TABLEAU</v>
      </c>
      <c r="N220" t="s">
        <v>75</v>
      </c>
      <c r="O220" t="s">
        <v>37</v>
      </c>
    </row>
    <row r="221" spans="1:15" x14ac:dyDescent="0.25">
      <c r="A221">
        <v>18069</v>
      </c>
      <c r="B221" t="s">
        <v>14</v>
      </c>
      <c r="C221" t="s">
        <v>31</v>
      </c>
      <c r="D221" t="str">
        <f>IFERROR(INDEX(Sheet2!$B$2:$B$1132,MATCH(Sheet1!C221,Sheet1!$C$2:$C$1132,0)),"IDK")</f>
        <v>IT</v>
      </c>
      <c r="E221" t="s">
        <v>48</v>
      </c>
      <c r="F221" t="s">
        <v>54</v>
      </c>
      <c r="G221" s="1">
        <v>45463</v>
      </c>
      <c r="H221" t="s">
        <v>58</v>
      </c>
      <c r="I221" s="2" t="s">
        <v>142</v>
      </c>
      <c r="J221" s="2" t="s">
        <v>143</v>
      </c>
      <c r="K221">
        <f>IFERROR(INDEX(Sheet2!$C$2:$C$1132,MATCH(Sheet1!C221,Sheet1!$C$2:$C$1132,0)),"")</f>
        <v>25000</v>
      </c>
      <c r="L221">
        <f>IFERROR(INDEX(Sheet2!$D$2:$D$1132,MATCH(Sheet1!C221,$C$2:$C$1132,0)),"")</f>
        <v>75000</v>
      </c>
      <c r="M221" t="str">
        <f>IFERROR(INDEX($M$2:$M$1132,MATCH(B221,$B$2:$B$1132,0)),"")</f>
        <v>SQL, EXCEL, POWERBI, TABLEAU</v>
      </c>
      <c r="N221" t="s">
        <v>75</v>
      </c>
      <c r="O221" t="s">
        <v>78</v>
      </c>
    </row>
    <row r="222" spans="1:15" x14ac:dyDescent="0.25">
      <c r="A222">
        <v>18070</v>
      </c>
      <c r="B222" t="s">
        <v>14</v>
      </c>
      <c r="C222" t="s">
        <v>32</v>
      </c>
      <c r="D222" t="str">
        <f>IFERROR(INDEX(Sheet2!$B$2:$B$1132,MATCH(Sheet1!C222,Sheet1!$C$2:$C$1132,0)),"IDK")</f>
        <v>SOCIAL</v>
      </c>
      <c r="E222" t="s">
        <v>48</v>
      </c>
      <c r="F222" t="s">
        <v>54</v>
      </c>
      <c r="G222" s="1">
        <v>45297</v>
      </c>
      <c r="H222" t="s">
        <v>58</v>
      </c>
      <c r="I222" s="2" t="s">
        <v>142</v>
      </c>
      <c r="J222" s="2" t="s">
        <v>143</v>
      </c>
      <c r="K222">
        <f>IFERROR(INDEX(Sheet2!$C$2:$C$1132,MATCH(Sheet1!C222,Sheet1!$C$2:$C$1132,0)),"")</f>
        <v>20000</v>
      </c>
      <c r="L222">
        <f>IFERROR(INDEX(Sheet2!$D$2:$D$1132,MATCH(Sheet1!C222,$C$2:$C$1132,0)),"")</f>
        <v>70000</v>
      </c>
      <c r="M222" t="str">
        <f>IFERROR(INDEX($M$2:$M$1132,MATCH(B222,$B$2:$B$1132,0)),"")</f>
        <v>SQL, EXCEL, POWERBI, TABLEAU</v>
      </c>
      <c r="N222" t="s">
        <v>75</v>
      </c>
      <c r="O222" t="s">
        <v>80</v>
      </c>
    </row>
    <row r="223" spans="1:15" x14ac:dyDescent="0.25">
      <c r="A223">
        <v>18071</v>
      </c>
      <c r="B223" t="s">
        <v>14</v>
      </c>
      <c r="C223" t="s">
        <v>33</v>
      </c>
      <c r="D223" t="str">
        <f>IFERROR(INDEX(Sheet2!$B$2:$B$1132,MATCH(Sheet1!C223,Sheet1!$C$2:$C$1132,0)),"IDK")</f>
        <v>FINANCE</v>
      </c>
      <c r="E223" t="s">
        <v>48</v>
      </c>
      <c r="F223" t="s">
        <v>54</v>
      </c>
      <c r="G223" s="1">
        <v>45513</v>
      </c>
      <c r="H223" t="s">
        <v>58</v>
      </c>
      <c r="I223" s="2" t="s">
        <v>142</v>
      </c>
      <c r="J223" s="2" t="s">
        <v>143</v>
      </c>
      <c r="K223">
        <f>IFERROR(INDEX(Sheet2!$C$2:$C$1132,MATCH(Sheet1!C223,Sheet1!$C$2:$C$1132,0)),"")</f>
        <v>40000</v>
      </c>
      <c r="L223">
        <f>IFERROR(INDEX(Sheet2!$D$2:$D$1132,MATCH(Sheet1!C223,$C$2:$C$1132,0)),"")</f>
        <v>85000</v>
      </c>
      <c r="M223" t="str">
        <f>IFERROR(INDEX($M$2:$M$1132,MATCH(B223,$B$2:$B$1132,0)),"")</f>
        <v>SQL, EXCEL, POWERBI, TABLEAU</v>
      </c>
      <c r="N223" t="s">
        <v>75</v>
      </c>
      <c r="O223" t="s">
        <v>79</v>
      </c>
    </row>
    <row r="224" spans="1:15" x14ac:dyDescent="0.25">
      <c r="A224">
        <v>18072</v>
      </c>
      <c r="B224" t="s">
        <v>14</v>
      </c>
      <c r="C224" t="s">
        <v>23</v>
      </c>
      <c r="D224" t="str">
        <f>IFERROR(INDEX(Sheet2!$B$2:$B$1132,MATCH(Sheet1!C224,Sheet1!$C$2:$C$1132,0)),"IDK")</f>
        <v>IT</v>
      </c>
      <c r="E224" t="s">
        <v>48</v>
      </c>
      <c r="F224" t="s">
        <v>54</v>
      </c>
      <c r="G224" s="1">
        <v>45373</v>
      </c>
      <c r="H224" t="s">
        <v>58</v>
      </c>
      <c r="I224" s="2" t="s">
        <v>142</v>
      </c>
      <c r="J224" s="2" t="s">
        <v>143</v>
      </c>
      <c r="K224">
        <f>IFERROR(INDEX(Sheet2!$C$2:$C$1132,MATCH(Sheet1!C224,Sheet1!$C$2:$C$1132,0)),"")</f>
        <v>35000</v>
      </c>
      <c r="L224">
        <f>IFERROR(INDEX(Sheet2!$D$2:$D$1132,MATCH(Sheet1!C224,$C$2:$C$1132,0)),"")</f>
        <v>70000</v>
      </c>
      <c r="M224" t="str">
        <f>IFERROR(INDEX($M$2:$M$1132,MATCH(B224,$B$2:$B$1132,0)),"")</f>
        <v>SQL, EXCEL, POWERBI, TABLEAU</v>
      </c>
      <c r="N224" t="s">
        <v>75</v>
      </c>
      <c r="O224" t="s">
        <v>37</v>
      </c>
    </row>
    <row r="225" spans="1:15" x14ac:dyDescent="0.25">
      <c r="A225">
        <v>18073</v>
      </c>
      <c r="B225" t="s">
        <v>14</v>
      </c>
      <c r="C225" t="s">
        <v>24</v>
      </c>
      <c r="D225" t="str">
        <f>IFERROR(INDEX(Sheet2!$B$2:$B$1132,MATCH(Sheet1!C225,Sheet1!$C$2:$C$1132,0)),"IDK")</f>
        <v>HEALTH</v>
      </c>
      <c r="E225" t="s">
        <v>48</v>
      </c>
      <c r="F225" t="s">
        <v>54</v>
      </c>
      <c r="G225" s="1">
        <v>45505</v>
      </c>
      <c r="H225" t="s">
        <v>58</v>
      </c>
      <c r="I225" s="2" t="s">
        <v>142</v>
      </c>
      <c r="J225" s="2" t="s">
        <v>143</v>
      </c>
      <c r="K225">
        <f>IFERROR(INDEX(Sheet2!$C$2:$C$1132,MATCH(Sheet1!C225,Sheet1!$C$2:$C$1132,0)),"")</f>
        <v>25000</v>
      </c>
      <c r="L225">
        <f>IFERROR(INDEX(Sheet2!$D$2:$D$1132,MATCH(Sheet1!C225,$C$2:$C$1132,0)),"")</f>
        <v>50000</v>
      </c>
      <c r="M225" t="str">
        <f>IFERROR(INDEX($M$2:$M$1132,MATCH(B225,$B$2:$B$1132,0)),"")</f>
        <v>SQL, EXCEL, POWERBI, TABLEAU</v>
      </c>
      <c r="N225" t="s">
        <v>75</v>
      </c>
      <c r="O225" t="s">
        <v>78</v>
      </c>
    </row>
    <row r="226" spans="1:15" x14ac:dyDescent="0.25">
      <c r="A226">
        <v>18074</v>
      </c>
      <c r="B226" t="s">
        <v>14</v>
      </c>
      <c r="C226" t="s">
        <v>25</v>
      </c>
      <c r="D226" t="str">
        <f>IFERROR(INDEX(Sheet2!$B$2:$B$1132,MATCH(Sheet1!C226,Sheet1!$C$2:$C$1132,0)),"IDK")</f>
        <v>SOCIAL</v>
      </c>
      <c r="E226" t="s">
        <v>48</v>
      </c>
      <c r="F226" t="s">
        <v>54</v>
      </c>
      <c r="G226" s="1">
        <v>45415</v>
      </c>
      <c r="H226" t="s">
        <v>58</v>
      </c>
      <c r="I226" s="2" t="s">
        <v>138</v>
      </c>
      <c r="J226" s="2" t="s">
        <v>139</v>
      </c>
      <c r="K226">
        <f>IFERROR(INDEX(Sheet2!$C$2:$C$1132,MATCH(Sheet1!C226,Sheet1!$C$2:$C$1132,0)),"")</f>
        <v>30000</v>
      </c>
      <c r="L226">
        <f>IFERROR(INDEX(Sheet2!$D$2:$D$1132,MATCH(Sheet1!C226,$C$2:$C$1132,0)),"")</f>
        <v>60000</v>
      </c>
      <c r="M226" t="str">
        <f>IFERROR(INDEX($M$2:$M$1132,MATCH(B226,$B$2:$B$1132,0)),"")</f>
        <v>SQL, EXCEL, POWERBI, TABLEAU</v>
      </c>
      <c r="N226" t="s">
        <v>75</v>
      </c>
      <c r="O226" t="s">
        <v>79</v>
      </c>
    </row>
    <row r="227" spans="1:15" x14ac:dyDescent="0.25">
      <c r="A227">
        <v>18075</v>
      </c>
      <c r="B227" t="s">
        <v>14</v>
      </c>
      <c r="C227" t="s">
        <v>26</v>
      </c>
      <c r="D227" t="str">
        <f>IFERROR(INDEX(Sheet2!$B$2:$B$1132,MATCH(Sheet1!C227,Sheet1!$C$2:$C$1132,0)),"IDK")</f>
        <v>FINANCE</v>
      </c>
      <c r="E227" t="s">
        <v>48</v>
      </c>
      <c r="F227" t="s">
        <v>54</v>
      </c>
      <c r="G227" s="1">
        <v>45646</v>
      </c>
      <c r="H227" t="s">
        <v>58</v>
      </c>
      <c r="I227" s="2" t="s">
        <v>138</v>
      </c>
      <c r="J227" s="2" t="s">
        <v>139</v>
      </c>
      <c r="K227">
        <f>IFERROR(INDEX(Sheet2!$C$2:$C$1132,MATCH(Sheet1!C227,Sheet1!$C$2:$C$1132,0)),"")</f>
        <v>35000</v>
      </c>
      <c r="L227">
        <f>IFERROR(INDEX(Sheet2!$D$2:$D$1132,MATCH(Sheet1!C227,$C$2:$C$1132,0)),"")</f>
        <v>75000</v>
      </c>
      <c r="M227" t="str">
        <f>IFERROR(INDEX($M$2:$M$1132,MATCH(B227,$B$2:$B$1132,0)),"")</f>
        <v>SQL, EXCEL, POWERBI, TABLEAU</v>
      </c>
      <c r="N227" t="s">
        <v>75</v>
      </c>
      <c r="O227" t="s">
        <v>80</v>
      </c>
    </row>
    <row r="228" spans="1:15" x14ac:dyDescent="0.25">
      <c r="A228">
        <v>18076</v>
      </c>
      <c r="B228" t="s">
        <v>14</v>
      </c>
      <c r="C228" t="s">
        <v>27</v>
      </c>
      <c r="D228" t="str">
        <f>IFERROR(INDEX(Sheet2!$B$2:$B$1132,MATCH(Sheet1!C228,Sheet1!$C$2:$C$1132,0)),"IDK")</f>
        <v>IT</v>
      </c>
      <c r="E228" t="s">
        <v>48</v>
      </c>
      <c r="F228" t="s">
        <v>54</v>
      </c>
      <c r="G228" s="1">
        <v>45605</v>
      </c>
      <c r="H228" t="s">
        <v>58</v>
      </c>
      <c r="I228" s="2" t="s">
        <v>138</v>
      </c>
      <c r="J228" s="2" t="s">
        <v>139</v>
      </c>
      <c r="K228">
        <f>IFERROR(INDEX(Sheet2!$C$2:$C$1132,MATCH(Sheet1!C228,Sheet1!$C$2:$C$1132,0)),"")</f>
        <v>40000</v>
      </c>
      <c r="L228">
        <f>IFERROR(INDEX(Sheet2!$D$2:$D$1132,MATCH(Sheet1!C228,$C$2:$C$1132,0)),"")</f>
        <v>80000</v>
      </c>
      <c r="M228" t="str">
        <f>IFERROR(INDEX($M$2:$M$1132,MATCH(B228,$B$2:$B$1132,0)),"")</f>
        <v>SQL, EXCEL, POWERBI, TABLEAU</v>
      </c>
      <c r="N228" t="s">
        <v>75</v>
      </c>
      <c r="O228" t="s">
        <v>77</v>
      </c>
    </row>
    <row r="229" spans="1:15" x14ac:dyDescent="0.25">
      <c r="A229">
        <v>18077</v>
      </c>
      <c r="B229" t="s">
        <v>14</v>
      </c>
      <c r="C229" t="s">
        <v>28</v>
      </c>
      <c r="D229" t="str">
        <f>IFERROR(INDEX(Sheet2!$B$2:$B$1132,MATCH(Sheet1!C229,Sheet1!$C$2:$C$1132,0)),"IDK")</f>
        <v>IT</v>
      </c>
      <c r="E229" t="s">
        <v>48</v>
      </c>
      <c r="F229" t="s">
        <v>54</v>
      </c>
      <c r="G229" s="1">
        <v>45528</v>
      </c>
      <c r="H229" t="s">
        <v>58</v>
      </c>
      <c r="I229" s="2" t="s">
        <v>133</v>
      </c>
      <c r="J229" s="2" t="s">
        <v>134</v>
      </c>
      <c r="K229">
        <f>IFERROR(INDEX(Sheet2!$C$2:$C$1132,MATCH(Sheet1!C229,Sheet1!$C$2:$C$1132,0)),"")</f>
        <v>30000</v>
      </c>
      <c r="L229">
        <f>IFERROR(INDEX(Sheet2!$D$2:$D$1132,MATCH(Sheet1!C229,$C$2:$C$1132,0)),"")</f>
        <v>55000</v>
      </c>
      <c r="M229" t="str">
        <f>IFERROR(INDEX($M$2:$M$1132,MATCH(B229,$B$2:$B$1132,0)),"")</f>
        <v>SQL, EXCEL, POWERBI, TABLEAU</v>
      </c>
      <c r="N229" t="s">
        <v>75</v>
      </c>
      <c r="O229" t="s">
        <v>79</v>
      </c>
    </row>
    <row r="230" spans="1:15" x14ac:dyDescent="0.25">
      <c r="A230">
        <v>18078</v>
      </c>
      <c r="B230" t="s">
        <v>14</v>
      </c>
      <c r="C230" t="s">
        <v>29</v>
      </c>
      <c r="D230" t="str">
        <f>IFERROR(INDEX(Sheet2!$B$2:$B$1132,MATCH(Sheet1!C230,Sheet1!$C$2:$C$1132,0)),"IDK")</f>
        <v>IT</v>
      </c>
      <c r="E230" t="s">
        <v>48</v>
      </c>
      <c r="F230" t="s">
        <v>54</v>
      </c>
      <c r="G230" s="1">
        <v>45625</v>
      </c>
      <c r="H230" t="s">
        <v>58</v>
      </c>
      <c r="I230" s="2" t="s">
        <v>131</v>
      </c>
      <c r="J230" s="2" t="s">
        <v>132</v>
      </c>
      <c r="K230">
        <f>IFERROR(INDEX(Sheet2!$C$2:$C$1132,MATCH(Sheet1!C230,Sheet1!$C$2:$C$1132,0)),"")</f>
        <v>35000</v>
      </c>
      <c r="L230">
        <f>IFERROR(INDEX(Sheet2!$D$2:$D$1132,MATCH(Sheet1!C230,$C$2:$C$1132,0)),"")</f>
        <v>70000</v>
      </c>
      <c r="M230" t="str">
        <f>IFERROR(INDEX($M$2:$M$1132,MATCH(B230,$B$2:$B$1132,0)),"")</f>
        <v>SQL, EXCEL, POWERBI, TABLEAU</v>
      </c>
      <c r="N230" t="s">
        <v>75</v>
      </c>
      <c r="O230" t="s">
        <v>37</v>
      </c>
    </row>
    <row r="231" spans="1:15" x14ac:dyDescent="0.25">
      <c r="A231">
        <v>18079</v>
      </c>
      <c r="B231" t="s">
        <v>14</v>
      </c>
      <c r="C231" t="s">
        <v>23</v>
      </c>
      <c r="D231" t="str">
        <f>IFERROR(INDEX(Sheet2!$B$2:$B$1132,MATCH(Sheet1!C231,Sheet1!$C$2:$C$1132,0)),"IDK")</f>
        <v>IT</v>
      </c>
      <c r="E231" t="s">
        <v>48</v>
      </c>
      <c r="F231" t="s">
        <v>54</v>
      </c>
      <c r="G231" s="1">
        <v>45571</v>
      </c>
      <c r="H231" t="s">
        <v>58</v>
      </c>
      <c r="I231" s="2" t="s">
        <v>136</v>
      </c>
      <c r="J231" s="2" t="s">
        <v>137</v>
      </c>
      <c r="K231">
        <f>IFERROR(INDEX(Sheet2!$C$2:$C$1132,MATCH(Sheet1!C231,Sheet1!$C$2:$C$1132,0)),"")</f>
        <v>35000</v>
      </c>
      <c r="L231">
        <f>IFERROR(INDEX(Sheet2!$D$2:$D$1132,MATCH(Sheet1!C231,$C$2:$C$1132,0)),"")</f>
        <v>70000</v>
      </c>
      <c r="M231" t="str">
        <f>IFERROR(INDEX($M$2:$M$1132,MATCH(B231,$B$2:$B$1132,0)),"")</f>
        <v>SQL, EXCEL, POWERBI, TABLEAU</v>
      </c>
      <c r="N231" t="s">
        <v>75</v>
      </c>
      <c r="O231" t="s">
        <v>78</v>
      </c>
    </row>
    <row r="232" spans="1:15" x14ac:dyDescent="0.25">
      <c r="A232">
        <v>18080</v>
      </c>
      <c r="B232" t="s">
        <v>14</v>
      </c>
      <c r="C232" t="s">
        <v>30</v>
      </c>
      <c r="D232" t="str">
        <f>IFERROR(INDEX(Sheet2!$B$2:$B$1132,MATCH(Sheet1!C232,Sheet1!$C$2:$C$1132,0)),"IDK")</f>
        <v>IT</v>
      </c>
      <c r="E232" t="s">
        <v>48</v>
      </c>
      <c r="F232" t="s">
        <v>54</v>
      </c>
      <c r="G232" s="1">
        <v>45562</v>
      </c>
      <c r="H232" t="s">
        <v>58</v>
      </c>
      <c r="I232" s="2" t="s">
        <v>133</v>
      </c>
      <c r="J232" s="2" t="s">
        <v>134</v>
      </c>
      <c r="K232">
        <f>IFERROR(INDEX(Sheet2!$C$2:$C$1132,MATCH(Sheet1!C232,Sheet1!$C$2:$C$1132,0)),"")</f>
        <v>25000</v>
      </c>
      <c r="L232">
        <f>IFERROR(INDEX(Sheet2!$D$2:$D$1132,MATCH(Sheet1!C232,$C$2:$C$1132,0)),"")</f>
        <v>60000</v>
      </c>
      <c r="M232" t="str">
        <f>IFERROR(INDEX($M$2:$M$1132,MATCH(B232,$B$2:$B$1132,0)),"")</f>
        <v>SQL, EXCEL, POWERBI, TABLEAU</v>
      </c>
      <c r="N232" t="s">
        <v>76</v>
      </c>
      <c r="O232" t="s">
        <v>78</v>
      </c>
    </row>
    <row r="233" spans="1:15" x14ac:dyDescent="0.25">
      <c r="A233">
        <v>18081</v>
      </c>
      <c r="B233" t="s">
        <v>14</v>
      </c>
      <c r="C233" t="s">
        <v>31</v>
      </c>
      <c r="D233" t="str">
        <f>IFERROR(INDEX(Sheet2!$B$2:$B$1132,MATCH(Sheet1!C233,Sheet1!$C$2:$C$1132,0)),"IDK")</f>
        <v>IT</v>
      </c>
      <c r="E233" t="s">
        <v>48</v>
      </c>
      <c r="F233" t="s">
        <v>54</v>
      </c>
      <c r="G233" s="1">
        <v>45521</v>
      </c>
      <c r="H233" t="s">
        <v>58</v>
      </c>
      <c r="I233" s="2" t="s">
        <v>146</v>
      </c>
      <c r="J233" s="2" t="s">
        <v>147</v>
      </c>
      <c r="K233">
        <f>IFERROR(INDEX(Sheet2!$C$2:$C$1132,MATCH(Sheet1!C233,Sheet1!$C$2:$C$1132,0)),"")</f>
        <v>25000</v>
      </c>
      <c r="L233">
        <f>IFERROR(INDEX(Sheet2!$D$2:$D$1132,MATCH(Sheet1!C233,$C$2:$C$1132,0)),"")</f>
        <v>75000</v>
      </c>
      <c r="M233" t="str">
        <f>IFERROR(INDEX($M$2:$M$1132,MATCH(B233,$B$2:$B$1132,0)),"")</f>
        <v>SQL, EXCEL, POWERBI, TABLEAU</v>
      </c>
      <c r="N233" t="s">
        <v>76</v>
      </c>
      <c r="O233" t="s">
        <v>79</v>
      </c>
    </row>
    <row r="234" spans="1:15" x14ac:dyDescent="0.25">
      <c r="A234">
        <v>18082</v>
      </c>
      <c r="B234" t="s">
        <v>14</v>
      </c>
      <c r="C234" t="s">
        <v>32</v>
      </c>
      <c r="D234" t="str">
        <f>IFERROR(INDEX(Sheet2!$B$2:$B$1132,MATCH(Sheet1!C234,Sheet1!$C$2:$C$1132,0)),"IDK")</f>
        <v>SOCIAL</v>
      </c>
      <c r="E234" t="s">
        <v>48</v>
      </c>
      <c r="F234" t="s">
        <v>54</v>
      </c>
      <c r="G234" s="1">
        <v>45555</v>
      </c>
      <c r="H234" t="s">
        <v>58</v>
      </c>
      <c r="I234" s="2" t="s">
        <v>133</v>
      </c>
      <c r="J234" s="2" t="s">
        <v>134</v>
      </c>
      <c r="K234">
        <f>IFERROR(INDEX(Sheet2!$C$2:$C$1132,MATCH(Sheet1!C234,Sheet1!$C$2:$C$1132,0)),"")</f>
        <v>20000</v>
      </c>
      <c r="L234">
        <f>IFERROR(INDEX(Sheet2!$D$2:$D$1132,MATCH(Sheet1!C234,$C$2:$C$1132,0)),"")</f>
        <v>70000</v>
      </c>
      <c r="M234" t="str">
        <f>IFERROR(INDEX($M$2:$M$1132,MATCH(B234,$B$2:$B$1132,0)),"")</f>
        <v>SQL, EXCEL, POWERBI, TABLEAU</v>
      </c>
      <c r="N234" t="s">
        <v>76</v>
      </c>
      <c r="O234" t="s">
        <v>80</v>
      </c>
    </row>
    <row r="235" spans="1:15" x14ac:dyDescent="0.25">
      <c r="A235">
        <v>18083</v>
      </c>
      <c r="B235" t="s">
        <v>14</v>
      </c>
      <c r="C235" t="s">
        <v>33</v>
      </c>
      <c r="D235" t="str">
        <f>IFERROR(INDEX(Sheet2!$B$2:$B$1132,MATCH(Sheet1!C235,Sheet1!$C$2:$C$1132,0)),"IDK")</f>
        <v>FINANCE</v>
      </c>
      <c r="E235" t="s">
        <v>48</v>
      </c>
      <c r="F235" t="s">
        <v>54</v>
      </c>
      <c r="G235" s="1">
        <v>45308</v>
      </c>
      <c r="H235" t="s">
        <v>58</v>
      </c>
      <c r="I235" s="2" t="s">
        <v>136</v>
      </c>
      <c r="J235" s="2" t="s">
        <v>137</v>
      </c>
      <c r="K235">
        <f>IFERROR(INDEX(Sheet2!$C$2:$C$1132,MATCH(Sheet1!C235,Sheet1!$C$2:$C$1132,0)),"")</f>
        <v>40000</v>
      </c>
      <c r="L235">
        <f>IFERROR(INDEX(Sheet2!$D$2:$D$1132,MATCH(Sheet1!C235,$C$2:$C$1132,0)),"")</f>
        <v>85000</v>
      </c>
      <c r="M235" t="str">
        <f>IFERROR(INDEX($M$2:$M$1132,MATCH(B235,$B$2:$B$1132,0)),"")</f>
        <v>SQL, EXCEL, POWERBI, TABLEAU</v>
      </c>
      <c r="N235" t="s">
        <v>76</v>
      </c>
      <c r="O235" t="s">
        <v>77</v>
      </c>
    </row>
    <row r="236" spans="1:15" x14ac:dyDescent="0.25">
      <c r="A236">
        <v>18084</v>
      </c>
      <c r="B236" t="s">
        <v>14</v>
      </c>
      <c r="C236" t="s">
        <v>24</v>
      </c>
      <c r="D236" t="str">
        <f>IFERROR(INDEX(Sheet2!$B$2:$B$1132,MATCH(Sheet1!C236,Sheet1!$C$2:$C$1132,0)),"IDK")</f>
        <v>HEALTH</v>
      </c>
      <c r="E236" t="s">
        <v>48</v>
      </c>
      <c r="F236" t="s">
        <v>54</v>
      </c>
      <c r="G236" s="1">
        <v>45349</v>
      </c>
      <c r="H236" t="s">
        <v>58</v>
      </c>
      <c r="I236" s="2" t="s">
        <v>131</v>
      </c>
      <c r="J236" s="2" t="s">
        <v>132</v>
      </c>
      <c r="K236">
        <f>IFERROR(INDEX(Sheet2!$C$2:$C$1132,MATCH(Sheet1!C236,Sheet1!$C$2:$C$1132,0)),"")</f>
        <v>25000</v>
      </c>
      <c r="L236">
        <f>IFERROR(INDEX(Sheet2!$D$2:$D$1132,MATCH(Sheet1!C236,$C$2:$C$1132,0)),"")</f>
        <v>50000</v>
      </c>
      <c r="M236" t="str">
        <f>IFERROR(INDEX($M$2:$M$1132,MATCH(B236,$B$2:$B$1132,0)),"")</f>
        <v>SQL, EXCEL, POWERBI, TABLEAU</v>
      </c>
      <c r="N236" t="s">
        <v>76</v>
      </c>
      <c r="O236" t="s">
        <v>79</v>
      </c>
    </row>
    <row r="237" spans="1:15" x14ac:dyDescent="0.25">
      <c r="A237">
        <v>18085</v>
      </c>
      <c r="B237" t="s">
        <v>14</v>
      </c>
      <c r="C237" t="s">
        <v>25</v>
      </c>
      <c r="D237" t="str">
        <f>IFERROR(INDEX(Sheet2!$B$2:$B$1132,MATCH(Sheet1!C237,Sheet1!$C$2:$C$1132,0)),"IDK")</f>
        <v>SOCIAL</v>
      </c>
      <c r="E237" t="s">
        <v>48</v>
      </c>
      <c r="F237" t="s">
        <v>54</v>
      </c>
      <c r="G237" s="1">
        <v>45637</v>
      </c>
      <c r="H237" t="s">
        <v>58</v>
      </c>
      <c r="I237" s="2" t="s">
        <v>86</v>
      </c>
      <c r="J237" s="2" t="s">
        <v>87</v>
      </c>
      <c r="K237">
        <f>IFERROR(INDEX(Sheet2!$C$2:$C$1132,MATCH(Sheet1!C237,Sheet1!$C$2:$C$1132,0)),"")</f>
        <v>30000</v>
      </c>
      <c r="L237">
        <f>IFERROR(INDEX(Sheet2!$D$2:$D$1132,MATCH(Sheet1!C237,$C$2:$C$1132,0)),"")</f>
        <v>60000</v>
      </c>
      <c r="M237" t="str">
        <f>IFERROR(INDEX($M$2:$M$1132,MATCH(B237,$B$2:$B$1132,0)),"")</f>
        <v>SQL, EXCEL, POWERBI, TABLEAU</v>
      </c>
      <c r="N237" t="s">
        <v>76</v>
      </c>
      <c r="O237" t="s">
        <v>37</v>
      </c>
    </row>
    <row r="238" spans="1:15" x14ac:dyDescent="0.25">
      <c r="A238">
        <v>18086</v>
      </c>
      <c r="B238" t="s">
        <v>14</v>
      </c>
      <c r="C238" t="s">
        <v>26</v>
      </c>
      <c r="D238" t="str">
        <f>IFERROR(INDEX(Sheet2!$B$2:$B$1132,MATCH(Sheet1!C238,Sheet1!$C$2:$C$1132,0)),"IDK")</f>
        <v>FINANCE</v>
      </c>
      <c r="E238" t="s">
        <v>48</v>
      </c>
      <c r="F238" t="s">
        <v>54</v>
      </c>
      <c r="G238" s="1">
        <v>45510</v>
      </c>
      <c r="H238" t="s">
        <v>55</v>
      </c>
      <c r="I238" s="2" t="s">
        <v>88</v>
      </c>
      <c r="J238" s="2" t="s">
        <v>89</v>
      </c>
      <c r="K238">
        <f>IFERROR(INDEX(Sheet2!$C$2:$C$1132,MATCH(Sheet1!C238,Sheet1!$C$2:$C$1132,0)),"")</f>
        <v>35000</v>
      </c>
      <c r="L238">
        <f>IFERROR(INDEX(Sheet2!$D$2:$D$1132,MATCH(Sheet1!C238,$C$2:$C$1132,0)),"")</f>
        <v>75000</v>
      </c>
      <c r="M238" t="str">
        <f>IFERROR(INDEX($M$2:$M$1132,MATCH(B238,$B$2:$B$1132,0)),"")</f>
        <v>SQL, EXCEL, POWERBI, TABLEAU</v>
      </c>
      <c r="N238" t="s">
        <v>76</v>
      </c>
      <c r="O238" t="s">
        <v>78</v>
      </c>
    </row>
    <row r="239" spans="1:15" x14ac:dyDescent="0.25">
      <c r="A239">
        <v>18087</v>
      </c>
      <c r="B239" t="s">
        <v>14</v>
      </c>
      <c r="C239" t="s">
        <v>27</v>
      </c>
      <c r="D239" t="str">
        <f>IFERROR(INDEX(Sheet2!$B$2:$B$1132,MATCH(Sheet1!C239,Sheet1!$C$2:$C$1132,0)),"IDK")</f>
        <v>IT</v>
      </c>
      <c r="E239" t="s">
        <v>48</v>
      </c>
      <c r="F239" t="s">
        <v>54</v>
      </c>
      <c r="G239" s="1">
        <v>45358</v>
      </c>
      <c r="H239" t="s">
        <v>55</v>
      </c>
      <c r="I239" s="2" t="s">
        <v>100</v>
      </c>
      <c r="J239" s="2" t="s">
        <v>101</v>
      </c>
      <c r="K239">
        <f>IFERROR(INDEX(Sheet2!$C$2:$C$1132,MATCH(Sheet1!C239,Sheet1!$C$2:$C$1132,0)),"")</f>
        <v>40000</v>
      </c>
      <c r="L239">
        <f>IFERROR(INDEX(Sheet2!$D$2:$D$1132,MATCH(Sheet1!C239,$C$2:$C$1132,0)),"")</f>
        <v>80000</v>
      </c>
      <c r="M239" t="str">
        <f>IFERROR(INDEX($M$2:$M$1132,MATCH(B239,$B$2:$B$1132,0)),"")</f>
        <v>SQL, EXCEL, POWERBI, TABLEAU</v>
      </c>
      <c r="N239" t="s">
        <v>76</v>
      </c>
      <c r="O239" t="s">
        <v>80</v>
      </c>
    </row>
    <row r="240" spans="1:15" x14ac:dyDescent="0.25">
      <c r="A240">
        <v>18088</v>
      </c>
      <c r="B240" t="s">
        <v>14</v>
      </c>
      <c r="C240" t="s">
        <v>28</v>
      </c>
      <c r="D240" t="str">
        <f>IFERROR(INDEX(Sheet2!$B$2:$B$1132,MATCH(Sheet1!C240,Sheet1!$C$2:$C$1132,0)),"IDK")</f>
        <v>IT</v>
      </c>
      <c r="E240" t="s">
        <v>48</v>
      </c>
      <c r="F240" t="s">
        <v>54</v>
      </c>
      <c r="G240" s="1">
        <v>45354</v>
      </c>
      <c r="H240" t="s">
        <v>55</v>
      </c>
      <c r="I240" s="2" t="s">
        <v>102</v>
      </c>
      <c r="J240" s="2" t="s">
        <v>103</v>
      </c>
      <c r="K240">
        <f>IFERROR(INDEX(Sheet2!$C$2:$C$1132,MATCH(Sheet1!C240,Sheet1!$C$2:$C$1132,0)),"")</f>
        <v>30000</v>
      </c>
      <c r="L240">
        <f>IFERROR(INDEX(Sheet2!$D$2:$D$1132,MATCH(Sheet1!C240,$C$2:$C$1132,0)),"")</f>
        <v>55000</v>
      </c>
      <c r="M240" t="str">
        <f>IFERROR(INDEX($M$2:$M$1132,MATCH(B240,$B$2:$B$1132,0)),"")</f>
        <v>SQL, EXCEL, POWERBI, TABLEAU</v>
      </c>
      <c r="N240" t="s">
        <v>76</v>
      </c>
      <c r="O240" t="s">
        <v>79</v>
      </c>
    </row>
    <row r="241" spans="1:15" x14ac:dyDescent="0.25">
      <c r="A241">
        <v>18089</v>
      </c>
      <c r="B241" t="s">
        <v>14</v>
      </c>
      <c r="C241" t="s">
        <v>29</v>
      </c>
      <c r="D241" t="str">
        <f>IFERROR(INDEX(Sheet2!$B$2:$B$1132,MATCH(Sheet1!C241,Sheet1!$C$2:$C$1132,0)),"IDK")</f>
        <v>IT</v>
      </c>
      <c r="E241" t="s">
        <v>48</v>
      </c>
      <c r="F241" t="s">
        <v>54</v>
      </c>
      <c r="G241" s="1">
        <v>45594</v>
      </c>
      <c r="H241" t="s">
        <v>55</v>
      </c>
      <c r="I241" s="2" t="s">
        <v>92</v>
      </c>
      <c r="J241" s="2" t="s">
        <v>93</v>
      </c>
      <c r="K241">
        <f>IFERROR(INDEX(Sheet2!$C$2:$C$1132,MATCH(Sheet1!C241,Sheet1!$C$2:$C$1132,0)),"")</f>
        <v>35000</v>
      </c>
      <c r="L241">
        <f>IFERROR(INDEX(Sheet2!$D$2:$D$1132,MATCH(Sheet1!C241,$C$2:$C$1132,0)),"")</f>
        <v>70000</v>
      </c>
      <c r="M241" t="str">
        <f>IFERROR(INDEX($M$2:$M$1132,MATCH(B241,$B$2:$B$1132,0)),"")</f>
        <v>SQL, EXCEL, POWERBI, TABLEAU</v>
      </c>
      <c r="N241" t="s">
        <v>76</v>
      </c>
      <c r="O241" t="s">
        <v>37</v>
      </c>
    </row>
    <row r="242" spans="1:15" x14ac:dyDescent="0.25">
      <c r="A242">
        <v>18090</v>
      </c>
      <c r="B242" t="s">
        <v>14</v>
      </c>
      <c r="C242" t="s">
        <v>23</v>
      </c>
      <c r="D242" t="str">
        <f>IFERROR(INDEX(Sheet2!$B$2:$B$1132,MATCH(Sheet1!C242,Sheet1!$C$2:$C$1132,0)),"IDK")</f>
        <v>IT</v>
      </c>
      <c r="E242" t="s">
        <v>48</v>
      </c>
      <c r="F242" t="s">
        <v>54</v>
      </c>
      <c r="G242" s="1">
        <v>45387</v>
      </c>
      <c r="H242" t="s">
        <v>55</v>
      </c>
      <c r="I242" s="2" t="s">
        <v>94</v>
      </c>
      <c r="J242" s="2" t="s">
        <v>95</v>
      </c>
      <c r="K242">
        <f>IFERROR(INDEX(Sheet2!$C$2:$C$1132,MATCH(Sheet1!C242,Sheet1!$C$2:$C$1132,0)),"")</f>
        <v>35000</v>
      </c>
      <c r="L242">
        <f>IFERROR(INDEX(Sheet2!$D$2:$D$1132,MATCH(Sheet1!C242,$C$2:$C$1132,0)),"")</f>
        <v>70000</v>
      </c>
      <c r="M242" t="str">
        <f>IFERROR(INDEX($M$2:$M$1132,MATCH(B242,$B$2:$B$1132,0)),"")</f>
        <v>SQL, EXCEL, POWERBI, TABLEAU</v>
      </c>
      <c r="N242" t="s">
        <v>76</v>
      </c>
      <c r="O242" t="s">
        <v>78</v>
      </c>
    </row>
    <row r="243" spans="1:15" x14ac:dyDescent="0.25">
      <c r="A243">
        <v>18091</v>
      </c>
      <c r="B243" t="s">
        <v>14</v>
      </c>
      <c r="C243" t="s">
        <v>30</v>
      </c>
      <c r="D243" t="str">
        <f>IFERROR(INDEX(Sheet2!$B$2:$B$1132,MATCH(Sheet1!C243,Sheet1!$C$2:$C$1132,0)),"IDK")</f>
        <v>IT</v>
      </c>
      <c r="E243" t="s">
        <v>48</v>
      </c>
      <c r="F243" t="s">
        <v>54</v>
      </c>
      <c r="G243" s="1">
        <v>45376</v>
      </c>
      <c r="H243" t="s">
        <v>55</v>
      </c>
      <c r="I243" s="2" t="s">
        <v>96</v>
      </c>
      <c r="J243" s="2" t="s">
        <v>97</v>
      </c>
      <c r="K243">
        <f>IFERROR(INDEX(Sheet2!$C$2:$C$1132,MATCH(Sheet1!C243,Sheet1!$C$2:$C$1132,0)),"")</f>
        <v>25000</v>
      </c>
      <c r="L243">
        <f>IFERROR(INDEX(Sheet2!$D$2:$D$1132,MATCH(Sheet1!C243,$C$2:$C$1132,0)),"")</f>
        <v>60000</v>
      </c>
      <c r="M243" t="str">
        <f>IFERROR(INDEX($M$2:$M$1132,MATCH(B243,$B$2:$B$1132,0)),"")</f>
        <v>SQL, EXCEL, POWERBI, TABLEAU</v>
      </c>
      <c r="N243" t="s">
        <v>76</v>
      </c>
      <c r="O243" t="s">
        <v>79</v>
      </c>
    </row>
    <row r="244" spans="1:15" x14ac:dyDescent="0.25">
      <c r="A244">
        <v>18092</v>
      </c>
      <c r="B244" t="s">
        <v>14</v>
      </c>
      <c r="C244" t="s">
        <v>31</v>
      </c>
      <c r="D244" t="str">
        <f>IFERROR(INDEX(Sheet2!$B$2:$B$1132,MATCH(Sheet1!C244,Sheet1!$C$2:$C$1132,0)),"IDK")</f>
        <v>IT</v>
      </c>
      <c r="E244" t="s">
        <v>48</v>
      </c>
      <c r="F244" t="s">
        <v>54</v>
      </c>
      <c r="G244" s="1">
        <v>45324</v>
      </c>
      <c r="H244" t="s">
        <v>55</v>
      </c>
      <c r="I244" s="2" t="s">
        <v>98</v>
      </c>
      <c r="J244" s="2" t="s">
        <v>99</v>
      </c>
      <c r="K244">
        <f>IFERROR(INDEX(Sheet2!$C$2:$C$1132,MATCH(Sheet1!C244,Sheet1!$C$2:$C$1132,0)),"")</f>
        <v>25000</v>
      </c>
      <c r="L244">
        <f>IFERROR(INDEX(Sheet2!$D$2:$D$1132,MATCH(Sheet1!C244,$C$2:$C$1132,0)),"")</f>
        <v>75000</v>
      </c>
      <c r="M244" t="str">
        <f>IFERROR(INDEX($M$2:$M$1132,MATCH(B244,$B$2:$B$1132,0)),"")</f>
        <v>SQL, EXCEL, POWERBI, TABLEAU</v>
      </c>
      <c r="N244" t="s">
        <v>76</v>
      </c>
      <c r="O244" t="s">
        <v>80</v>
      </c>
    </row>
    <row r="245" spans="1:15" x14ac:dyDescent="0.25">
      <c r="A245">
        <v>18093</v>
      </c>
      <c r="B245" t="s">
        <v>14</v>
      </c>
      <c r="C245" t="s">
        <v>32</v>
      </c>
      <c r="D245" t="str">
        <f>IFERROR(INDEX(Sheet2!$B$2:$B$1132,MATCH(Sheet1!C245,Sheet1!$C$2:$C$1132,0)),"IDK")</f>
        <v>SOCIAL</v>
      </c>
      <c r="E245" t="s">
        <v>48</v>
      </c>
      <c r="F245" t="s">
        <v>54</v>
      </c>
      <c r="G245" s="1">
        <v>45379</v>
      </c>
      <c r="H245" t="s">
        <v>55</v>
      </c>
      <c r="I245" s="2" t="s">
        <v>106</v>
      </c>
      <c r="J245" s="2" t="s">
        <v>108</v>
      </c>
      <c r="K245">
        <f>IFERROR(INDEX(Sheet2!$C$2:$C$1132,MATCH(Sheet1!C245,Sheet1!$C$2:$C$1132,0)),"")</f>
        <v>20000</v>
      </c>
      <c r="L245">
        <f>IFERROR(INDEX(Sheet2!$D$2:$D$1132,MATCH(Sheet1!C245,$C$2:$C$1132,0)),"")</f>
        <v>70000</v>
      </c>
      <c r="M245" t="str">
        <f>IFERROR(INDEX($M$2:$M$1132,MATCH(B245,$B$2:$B$1132,0)),"")</f>
        <v>SQL, EXCEL, POWERBI, TABLEAU</v>
      </c>
      <c r="N245" t="s">
        <v>76</v>
      </c>
      <c r="O245" t="s">
        <v>77</v>
      </c>
    </row>
    <row r="246" spans="1:15" x14ac:dyDescent="0.25">
      <c r="A246">
        <v>18094</v>
      </c>
      <c r="B246" t="s">
        <v>14</v>
      </c>
      <c r="C246" t="s">
        <v>33</v>
      </c>
      <c r="D246" t="str">
        <f>IFERROR(INDEX(Sheet2!$B$2:$B$1132,MATCH(Sheet1!C246,Sheet1!$C$2:$C$1132,0)),"IDK")</f>
        <v>FINANCE</v>
      </c>
      <c r="E246" t="s">
        <v>48</v>
      </c>
      <c r="F246" t="s">
        <v>54</v>
      </c>
      <c r="G246" s="1">
        <v>45585</v>
      </c>
      <c r="H246" t="s">
        <v>56</v>
      </c>
      <c r="I246" s="2" t="s">
        <v>109</v>
      </c>
      <c r="J246" s="2" t="s">
        <v>110</v>
      </c>
      <c r="K246">
        <f>IFERROR(INDEX(Sheet2!$C$2:$C$1132,MATCH(Sheet1!C246,Sheet1!$C$2:$C$1132,0)),"")</f>
        <v>40000</v>
      </c>
      <c r="L246">
        <f>IFERROR(INDEX(Sheet2!$D$2:$D$1132,MATCH(Sheet1!C246,$C$2:$C$1132,0)),"")</f>
        <v>85000</v>
      </c>
      <c r="M246" t="str">
        <f>IFERROR(INDEX($M$2:$M$1132,MATCH(B246,$B$2:$B$1132,0)),"")</f>
        <v>SQL, EXCEL, POWERBI, TABLEAU</v>
      </c>
      <c r="N246" t="s">
        <v>76</v>
      </c>
      <c r="O246" t="s">
        <v>79</v>
      </c>
    </row>
    <row r="247" spans="1:15" x14ac:dyDescent="0.25">
      <c r="A247">
        <v>18095</v>
      </c>
      <c r="B247" t="s">
        <v>14</v>
      </c>
      <c r="C247" t="s">
        <v>34</v>
      </c>
      <c r="D247" t="str">
        <f>IFERROR(INDEX(Sheet2!$B$2:$B$1132,MATCH(Sheet1!C247,Sheet1!$C$2:$C$1132,0)),"IDK")</f>
        <v>IT</v>
      </c>
      <c r="E247" t="s">
        <v>48</v>
      </c>
      <c r="F247" t="s">
        <v>54</v>
      </c>
      <c r="G247" s="1">
        <v>45518</v>
      </c>
      <c r="H247" t="s">
        <v>56</v>
      </c>
      <c r="I247" s="2" t="s">
        <v>109</v>
      </c>
      <c r="J247" s="2" t="s">
        <v>111</v>
      </c>
      <c r="K247">
        <f>IFERROR(INDEX(Sheet2!$C$2:$C$1132,MATCH(Sheet1!C247,Sheet1!$C$2:$C$1132,0)),"")</f>
        <v>35000</v>
      </c>
      <c r="L247">
        <f>IFERROR(INDEX(Sheet2!$D$2:$D$1132,MATCH(Sheet1!C247,$C$2:$C$1132,0)),"")</f>
        <v>90000</v>
      </c>
      <c r="M247" t="str">
        <f>IFERROR(INDEX($M$2:$M$1132,MATCH(B247,$B$2:$B$1132,0)),"")</f>
        <v>SQL, EXCEL, POWERBI, TABLEAU</v>
      </c>
      <c r="N247" t="s">
        <v>76</v>
      </c>
      <c r="O247" t="s">
        <v>37</v>
      </c>
    </row>
    <row r="248" spans="1:15" x14ac:dyDescent="0.25">
      <c r="A248">
        <v>18096</v>
      </c>
      <c r="B248" t="s">
        <v>14</v>
      </c>
      <c r="C248" t="s">
        <v>35</v>
      </c>
      <c r="D248" t="str">
        <f>IFERROR(INDEX(Sheet2!$B$2:$B$1132,MATCH(Sheet1!C248,Sheet1!$C$2:$C$1132,0)),"IDK")</f>
        <v>SOCIAL</v>
      </c>
      <c r="E248" t="s">
        <v>48</v>
      </c>
      <c r="F248" t="s">
        <v>54</v>
      </c>
      <c r="G248" s="1">
        <v>45594</v>
      </c>
      <c r="H248" t="s">
        <v>56</v>
      </c>
      <c r="I248" s="2" t="s">
        <v>112</v>
      </c>
      <c r="J248" s="2" t="s">
        <v>113</v>
      </c>
      <c r="K248">
        <f>IFERROR(INDEX(Sheet2!$C$2:$C$1132,MATCH(Sheet1!C248,Sheet1!$C$2:$C$1132,0)),"")</f>
        <v>30000</v>
      </c>
      <c r="L248">
        <f>IFERROR(INDEX(Sheet2!$D$2:$D$1132,MATCH(Sheet1!C248,$C$2:$C$1132,0)),"")</f>
        <v>95000</v>
      </c>
      <c r="M248" t="str">
        <f>IFERROR(INDEX($M$2:$M$1132,MATCH(B248,$B$2:$B$1132,0)),"")</f>
        <v>SQL, EXCEL, POWERBI, TABLEAU</v>
      </c>
      <c r="N248" t="s">
        <v>76</v>
      </c>
      <c r="O248" t="s">
        <v>78</v>
      </c>
    </row>
    <row r="249" spans="1:15" x14ac:dyDescent="0.25">
      <c r="A249">
        <v>18097</v>
      </c>
      <c r="B249" t="s">
        <v>14</v>
      </c>
      <c r="C249" t="s">
        <v>36</v>
      </c>
      <c r="D249" t="str">
        <f>IFERROR(INDEX(Sheet2!$B$2:$B$1132,MATCH(Sheet1!C249,Sheet1!$C$2:$C$1132,0)),"IDK")</f>
        <v>IT</v>
      </c>
      <c r="E249" t="s">
        <v>48</v>
      </c>
      <c r="F249" t="s">
        <v>54</v>
      </c>
      <c r="G249" s="1">
        <v>45320</v>
      </c>
      <c r="H249" t="s">
        <v>56</v>
      </c>
      <c r="I249" s="2" t="s">
        <v>114</v>
      </c>
      <c r="J249" s="2" t="s">
        <v>115</v>
      </c>
      <c r="K249">
        <f>IFERROR(INDEX(Sheet2!$C$2:$C$1132,MATCH(Sheet1!C249,Sheet1!$C$2:$C$1132,0)),"")</f>
        <v>50000</v>
      </c>
      <c r="L249">
        <f>IFERROR(INDEX(Sheet2!$D$2:$D$1132,MATCH(Sheet1!C249,$C$2:$C$1132,0)),"")</f>
        <v>100000</v>
      </c>
      <c r="M249" t="str">
        <f>IFERROR(INDEX($M$2:$M$1132,MATCH(B249,$B$2:$B$1132,0)),"")</f>
        <v>SQL, EXCEL, POWERBI, TABLEAU</v>
      </c>
      <c r="N249" t="s">
        <v>76</v>
      </c>
      <c r="O249" t="s">
        <v>80</v>
      </c>
    </row>
    <row r="250" spans="1:15" x14ac:dyDescent="0.25">
      <c r="A250">
        <v>18098</v>
      </c>
      <c r="B250" t="s">
        <v>14</v>
      </c>
      <c r="C250" t="s">
        <v>27</v>
      </c>
      <c r="D250" t="str">
        <f>IFERROR(INDEX(Sheet2!$B$2:$B$1132,MATCH(Sheet1!C250,Sheet1!$C$2:$C$1132,0)),"IDK")</f>
        <v>IT</v>
      </c>
      <c r="E250" t="s">
        <v>48</v>
      </c>
      <c r="F250" t="s">
        <v>54</v>
      </c>
      <c r="G250" s="1">
        <v>45614</v>
      </c>
      <c r="H250" t="s">
        <v>56</v>
      </c>
      <c r="I250" s="2" t="s">
        <v>116</v>
      </c>
      <c r="J250" s="2" t="s">
        <v>117</v>
      </c>
      <c r="K250">
        <f>IFERROR(INDEX(Sheet2!$C$2:$C$1132,MATCH(Sheet1!C250,Sheet1!$C$2:$C$1132,0)),"")</f>
        <v>40000</v>
      </c>
      <c r="L250">
        <f>IFERROR(INDEX(Sheet2!$D$2:$D$1132,MATCH(Sheet1!C250,$C$2:$C$1132,0)),"")</f>
        <v>80000</v>
      </c>
      <c r="M250" t="str">
        <f>IFERROR(INDEX($M$2:$M$1132,MATCH(B250,$B$2:$B$1132,0)),"")</f>
        <v>SQL, EXCEL, POWERBI, TABLEAU</v>
      </c>
      <c r="N250" t="s">
        <v>76</v>
      </c>
      <c r="O250" t="s">
        <v>79</v>
      </c>
    </row>
    <row r="251" spans="1:15" x14ac:dyDescent="0.25">
      <c r="A251">
        <v>18099</v>
      </c>
      <c r="B251" t="s">
        <v>14</v>
      </c>
      <c r="C251" t="s">
        <v>28</v>
      </c>
      <c r="D251" t="str">
        <f>IFERROR(INDEX(Sheet2!$B$2:$B$1132,MATCH(Sheet1!C251,Sheet1!$C$2:$C$1132,0)),"IDK")</f>
        <v>IT</v>
      </c>
      <c r="E251" t="s">
        <v>48</v>
      </c>
      <c r="F251" t="s">
        <v>54</v>
      </c>
      <c r="G251" s="1">
        <v>45444</v>
      </c>
      <c r="H251" t="s">
        <v>56</v>
      </c>
      <c r="I251" s="2" t="s">
        <v>118</v>
      </c>
      <c r="J251" s="2" t="s">
        <v>119</v>
      </c>
      <c r="K251">
        <f>IFERROR(INDEX(Sheet2!$C$2:$C$1132,MATCH(Sheet1!C251,Sheet1!$C$2:$C$1132,0)),"")</f>
        <v>30000</v>
      </c>
      <c r="L251">
        <f>IFERROR(INDEX(Sheet2!$D$2:$D$1132,MATCH(Sheet1!C251,$C$2:$C$1132,0)),"")</f>
        <v>55000</v>
      </c>
      <c r="M251" t="str">
        <f>IFERROR(INDEX($M$2:$M$1132,MATCH(B251,$B$2:$B$1132,0)),"")</f>
        <v>SQL, EXCEL, POWERBI, TABLEAU</v>
      </c>
      <c r="N251" t="s">
        <v>76</v>
      </c>
      <c r="O251" t="s">
        <v>37</v>
      </c>
    </row>
    <row r="252" spans="1:15" x14ac:dyDescent="0.25">
      <c r="A252">
        <v>18100</v>
      </c>
      <c r="B252" t="s">
        <v>14</v>
      </c>
      <c r="C252" t="s">
        <v>29</v>
      </c>
      <c r="D252" t="str">
        <f>IFERROR(INDEX(Sheet2!$B$2:$B$1132,MATCH(Sheet1!C252,Sheet1!$C$2:$C$1132,0)),"IDK")</f>
        <v>IT</v>
      </c>
      <c r="E252" t="s">
        <v>48</v>
      </c>
      <c r="F252" t="s">
        <v>54</v>
      </c>
      <c r="G252" s="1">
        <v>45359</v>
      </c>
      <c r="H252" t="s">
        <v>56</v>
      </c>
      <c r="I252" s="2" t="s">
        <v>118</v>
      </c>
      <c r="J252" s="2" t="s">
        <v>120</v>
      </c>
      <c r="K252">
        <f>IFERROR(INDEX(Sheet2!$C$2:$C$1132,MATCH(Sheet1!C252,Sheet1!$C$2:$C$1132,0)),"")</f>
        <v>35000</v>
      </c>
      <c r="L252">
        <f>IFERROR(INDEX(Sheet2!$D$2:$D$1132,MATCH(Sheet1!C252,$C$2:$C$1132,0)),"")</f>
        <v>70000</v>
      </c>
      <c r="M252" t="str">
        <f>IFERROR(INDEX($M$2:$M$1132,MATCH(B252,$B$2:$B$1132,0)),"")</f>
        <v>SQL, EXCEL, POWERBI, TABLEAU</v>
      </c>
      <c r="N252" t="s">
        <v>76</v>
      </c>
      <c r="O252" t="s">
        <v>78</v>
      </c>
    </row>
    <row r="253" spans="1:15" x14ac:dyDescent="0.25">
      <c r="A253">
        <v>18101</v>
      </c>
      <c r="B253" t="s">
        <v>14</v>
      </c>
      <c r="C253" t="s">
        <v>23</v>
      </c>
      <c r="D253" t="str">
        <f>IFERROR(INDEX(Sheet2!$B$2:$B$1132,MATCH(Sheet1!C253,Sheet1!$C$2:$C$1132,0)),"IDK")</f>
        <v>IT</v>
      </c>
      <c r="E253" t="s">
        <v>48</v>
      </c>
      <c r="F253" t="s">
        <v>54</v>
      </c>
      <c r="G253" s="1">
        <v>45578</v>
      </c>
      <c r="H253" t="s">
        <v>56</v>
      </c>
      <c r="I253" s="2" t="s">
        <v>121</v>
      </c>
      <c r="J253" s="2" t="s">
        <v>122</v>
      </c>
      <c r="K253">
        <f>IFERROR(INDEX(Sheet2!$C$2:$C$1132,MATCH(Sheet1!C253,Sheet1!$C$2:$C$1132,0)),"")</f>
        <v>35000</v>
      </c>
      <c r="L253">
        <f>IFERROR(INDEX(Sheet2!$D$2:$D$1132,MATCH(Sheet1!C253,$C$2:$C$1132,0)),"")</f>
        <v>70000</v>
      </c>
      <c r="M253" t="str">
        <f>IFERROR(INDEX($M$2:$M$1132,MATCH(B253,$B$2:$B$1132,0)),"")</f>
        <v>SQL, EXCEL, POWERBI, TABLEAU</v>
      </c>
      <c r="N253" t="s">
        <v>76</v>
      </c>
      <c r="O253" t="s">
        <v>79</v>
      </c>
    </row>
    <row r="254" spans="1:15" x14ac:dyDescent="0.25">
      <c r="A254">
        <v>18102</v>
      </c>
      <c r="B254" t="s">
        <v>14</v>
      </c>
      <c r="C254" t="s">
        <v>30</v>
      </c>
      <c r="D254" t="str">
        <f>IFERROR(INDEX(Sheet2!$B$2:$B$1132,MATCH(Sheet1!C254,Sheet1!$C$2:$C$1132,0)),"IDK")</f>
        <v>IT</v>
      </c>
      <c r="E254" t="s">
        <v>48</v>
      </c>
      <c r="F254" t="s">
        <v>54</v>
      </c>
      <c r="G254" s="1">
        <v>45326</v>
      </c>
      <c r="H254" t="s">
        <v>56</v>
      </c>
      <c r="I254" s="2" t="s">
        <v>123</v>
      </c>
      <c r="J254" s="2" t="s">
        <v>124</v>
      </c>
      <c r="K254">
        <f>IFERROR(INDEX(Sheet2!$C$2:$C$1132,MATCH(Sheet1!C254,Sheet1!$C$2:$C$1132,0)),"")</f>
        <v>25000</v>
      </c>
      <c r="L254">
        <f>IFERROR(INDEX(Sheet2!$D$2:$D$1132,MATCH(Sheet1!C254,$C$2:$C$1132,0)),"")</f>
        <v>60000</v>
      </c>
      <c r="M254" t="str">
        <f>IFERROR(INDEX($M$2:$M$1132,MATCH(B254,$B$2:$B$1132,0)),"")</f>
        <v>SQL, EXCEL, POWERBI, TABLEAU</v>
      </c>
      <c r="N254" t="s">
        <v>76</v>
      </c>
      <c r="O254" t="s">
        <v>80</v>
      </c>
    </row>
    <row r="255" spans="1:15" x14ac:dyDescent="0.25">
      <c r="A255">
        <v>18103</v>
      </c>
      <c r="B255" t="s">
        <v>14</v>
      </c>
      <c r="C255" t="s">
        <v>31</v>
      </c>
      <c r="D255" t="str">
        <f>IFERROR(INDEX(Sheet2!$B$2:$B$1132,MATCH(Sheet1!C255,Sheet1!$C$2:$C$1132,0)),"IDK")</f>
        <v>IT</v>
      </c>
      <c r="E255" t="s">
        <v>48</v>
      </c>
      <c r="F255" t="s">
        <v>54</v>
      </c>
      <c r="G255" s="1">
        <v>45579</v>
      </c>
      <c r="H255" t="s">
        <v>56</v>
      </c>
      <c r="I255" s="2" t="s">
        <v>125</v>
      </c>
      <c r="J255" s="2" t="s">
        <v>126</v>
      </c>
      <c r="K255">
        <f>IFERROR(INDEX(Sheet2!$C$2:$C$1132,MATCH(Sheet1!C255,Sheet1!$C$2:$C$1132,0)),"")</f>
        <v>25000</v>
      </c>
      <c r="L255">
        <f>IFERROR(INDEX(Sheet2!$D$2:$D$1132,MATCH(Sheet1!C255,$C$2:$C$1132,0)),"")</f>
        <v>75000</v>
      </c>
      <c r="M255" t="str">
        <f>IFERROR(INDEX($M$2:$M$1132,MATCH(B255,$B$2:$B$1132,0)),"")</f>
        <v>SQL, EXCEL, POWERBI, TABLEAU</v>
      </c>
      <c r="N255" t="s">
        <v>76</v>
      </c>
      <c r="O255" t="s">
        <v>77</v>
      </c>
    </row>
    <row r="256" spans="1:15" x14ac:dyDescent="0.25">
      <c r="A256">
        <v>18104</v>
      </c>
      <c r="B256" t="s">
        <v>14</v>
      </c>
      <c r="C256" t="s">
        <v>32</v>
      </c>
      <c r="D256" t="str">
        <f>IFERROR(INDEX(Sheet2!$B$2:$B$1132,MATCH(Sheet1!C256,Sheet1!$C$2:$C$1132,0)),"IDK")</f>
        <v>SOCIAL</v>
      </c>
      <c r="E256" t="s">
        <v>48</v>
      </c>
      <c r="F256" t="s">
        <v>54</v>
      </c>
      <c r="G256" s="1">
        <v>45487</v>
      </c>
      <c r="H256" t="s">
        <v>56</v>
      </c>
      <c r="I256" s="2" t="s">
        <v>127</v>
      </c>
      <c r="J256" s="2" t="s">
        <v>128</v>
      </c>
      <c r="K256">
        <f>IFERROR(INDEX(Sheet2!$C$2:$C$1132,MATCH(Sheet1!C256,Sheet1!$C$2:$C$1132,0)),"")</f>
        <v>20000</v>
      </c>
      <c r="L256">
        <f>IFERROR(INDEX(Sheet2!$D$2:$D$1132,MATCH(Sheet1!C256,$C$2:$C$1132,0)),"")</f>
        <v>70000</v>
      </c>
      <c r="M256" t="str">
        <f>IFERROR(INDEX($M$2:$M$1132,MATCH(B256,$B$2:$B$1132,0)),"")</f>
        <v>SQL, EXCEL, POWERBI, TABLEAU</v>
      </c>
      <c r="N256" t="s">
        <v>76</v>
      </c>
      <c r="O256" t="s">
        <v>79</v>
      </c>
    </row>
    <row r="257" spans="1:15" x14ac:dyDescent="0.25">
      <c r="A257">
        <v>18105</v>
      </c>
      <c r="B257" t="s">
        <v>14</v>
      </c>
      <c r="C257" t="s">
        <v>33</v>
      </c>
      <c r="D257" t="str">
        <f>IFERROR(INDEX(Sheet2!$B$2:$B$1132,MATCH(Sheet1!C257,Sheet1!$C$2:$C$1132,0)),"IDK")</f>
        <v>FINANCE</v>
      </c>
      <c r="E257" t="s">
        <v>48</v>
      </c>
      <c r="F257" t="s">
        <v>54</v>
      </c>
      <c r="G257" s="1">
        <v>45366</v>
      </c>
      <c r="H257" t="s">
        <v>56</v>
      </c>
      <c r="I257" s="2" t="s">
        <v>106</v>
      </c>
      <c r="J257" s="2" t="s">
        <v>107</v>
      </c>
      <c r="K257">
        <f>IFERROR(INDEX(Sheet2!$C$2:$C$1132,MATCH(Sheet1!C257,Sheet1!$C$2:$C$1132,0)),"")</f>
        <v>40000</v>
      </c>
      <c r="L257">
        <f>IFERROR(INDEX(Sheet2!$D$2:$D$1132,MATCH(Sheet1!C257,$C$2:$C$1132,0)),"")</f>
        <v>85000</v>
      </c>
      <c r="M257" t="str">
        <f>IFERROR(INDEX($M$2:$M$1132,MATCH(B257,$B$2:$B$1132,0)),"")</f>
        <v>SQL, EXCEL, POWERBI, TABLEAU</v>
      </c>
      <c r="N257" t="s">
        <v>76</v>
      </c>
      <c r="O257" t="s">
        <v>37</v>
      </c>
    </row>
    <row r="258" spans="1:15" x14ac:dyDescent="0.25">
      <c r="A258">
        <v>18106</v>
      </c>
      <c r="B258" t="s">
        <v>14</v>
      </c>
      <c r="C258" t="s">
        <v>23</v>
      </c>
      <c r="D258" t="str">
        <f>IFERROR(INDEX(Sheet2!$B$2:$B$1132,MATCH(Sheet1!C258,Sheet1!$C$2:$C$1132,0)),"IDK")</f>
        <v>IT</v>
      </c>
      <c r="E258" t="s">
        <v>48</v>
      </c>
      <c r="F258" t="s">
        <v>54</v>
      </c>
      <c r="G258" s="1">
        <v>45352</v>
      </c>
      <c r="H258" t="s">
        <v>56</v>
      </c>
      <c r="I258" s="2" t="s">
        <v>106</v>
      </c>
      <c r="J258" s="2" t="s">
        <v>108</v>
      </c>
      <c r="K258">
        <f>IFERROR(INDEX(Sheet2!$C$2:$C$1132,MATCH(Sheet1!C258,Sheet1!$C$2:$C$1132,0)),"")</f>
        <v>35000</v>
      </c>
      <c r="L258">
        <f>IFERROR(INDEX(Sheet2!$D$2:$D$1132,MATCH(Sheet1!C258,$C$2:$C$1132,0)),"")</f>
        <v>70000</v>
      </c>
      <c r="M258" t="str">
        <f>IFERROR(INDEX($M$2:$M$1132,MATCH(B258,$B$2:$B$1132,0)),"")</f>
        <v>SQL, EXCEL, POWERBI, TABLEAU</v>
      </c>
      <c r="N258" t="s">
        <v>76</v>
      </c>
      <c r="O258" t="s">
        <v>78</v>
      </c>
    </row>
    <row r="259" spans="1:15" x14ac:dyDescent="0.25">
      <c r="A259">
        <v>18107</v>
      </c>
      <c r="B259" t="s">
        <v>21</v>
      </c>
      <c r="C259" t="s">
        <v>24</v>
      </c>
      <c r="D259" t="str">
        <f>IFERROR(INDEX(Sheet2!$B$2:$B$1132,MATCH(Sheet1!C259,Sheet1!$C$2:$C$1132,0)),"IDK")</f>
        <v>HEALTH</v>
      </c>
      <c r="E259" t="s">
        <v>48</v>
      </c>
      <c r="F259" t="s">
        <v>54</v>
      </c>
      <c r="G259" s="1">
        <v>45576</v>
      </c>
      <c r="H259" t="s">
        <v>56</v>
      </c>
      <c r="I259" s="2" t="s">
        <v>109</v>
      </c>
      <c r="J259" s="2" t="s">
        <v>110</v>
      </c>
      <c r="K259">
        <f>IFERROR(INDEX(Sheet2!$C$2:$C$1132,MATCH(Sheet1!C259,Sheet1!$C$2:$C$1132,0)),"")</f>
        <v>25000</v>
      </c>
      <c r="L259">
        <f>IFERROR(INDEX(Sheet2!$D$2:$D$1132,MATCH(Sheet1!C259,$C$2:$C$1132,0)),"")</f>
        <v>50000</v>
      </c>
      <c r="M259" t="str">
        <f>IFERROR(INDEX($M$2:$M$1132,MATCH(B259,$B$2:$B$1132,0)),"")</f>
        <v>RISK ANALYSIS, DATA ANALYSIS, EXCEL, STATISTICS</v>
      </c>
      <c r="N259" t="s">
        <v>76</v>
      </c>
      <c r="O259" t="s">
        <v>78</v>
      </c>
    </row>
    <row r="260" spans="1:15" x14ac:dyDescent="0.25">
      <c r="A260">
        <v>18108</v>
      </c>
      <c r="B260" t="s">
        <v>21</v>
      </c>
      <c r="C260" t="s">
        <v>25</v>
      </c>
      <c r="D260" t="str">
        <f>IFERROR(INDEX(Sheet2!$B$2:$B$1132,MATCH(Sheet1!C260,Sheet1!$C$2:$C$1132,0)),"IDK")</f>
        <v>SOCIAL</v>
      </c>
      <c r="E260" t="s">
        <v>48</v>
      </c>
      <c r="F260" t="s">
        <v>54</v>
      </c>
      <c r="G260" s="1">
        <v>45596</v>
      </c>
      <c r="H260" t="s">
        <v>56</v>
      </c>
      <c r="I260" s="2" t="s">
        <v>109</v>
      </c>
      <c r="J260" s="2" t="s">
        <v>111</v>
      </c>
      <c r="K260">
        <f>IFERROR(INDEX(Sheet2!$C$2:$C$1132,MATCH(Sheet1!C260,Sheet1!$C$2:$C$1132,0)),"")</f>
        <v>30000</v>
      </c>
      <c r="L260">
        <f>IFERROR(INDEX(Sheet2!$D$2:$D$1132,MATCH(Sheet1!C260,$C$2:$C$1132,0)),"")</f>
        <v>60000</v>
      </c>
      <c r="M260" t="str">
        <f>IFERROR(INDEX($M$2:$M$1132,MATCH(B260,$B$2:$B$1132,0)),"")</f>
        <v>RISK ANALYSIS, DATA ANALYSIS, EXCEL, STATISTICS</v>
      </c>
      <c r="N260" t="s">
        <v>76</v>
      </c>
      <c r="O260" t="s">
        <v>79</v>
      </c>
    </row>
    <row r="261" spans="1:15" x14ac:dyDescent="0.25">
      <c r="A261">
        <v>18109</v>
      </c>
      <c r="B261" t="s">
        <v>21</v>
      </c>
      <c r="C261" t="s">
        <v>26</v>
      </c>
      <c r="D261" t="str">
        <f>IFERROR(INDEX(Sheet2!$B$2:$B$1132,MATCH(Sheet1!C261,Sheet1!$C$2:$C$1132,0)),"IDK")</f>
        <v>FINANCE</v>
      </c>
      <c r="E261" t="s">
        <v>48</v>
      </c>
      <c r="F261" t="s">
        <v>54</v>
      </c>
      <c r="G261" s="1">
        <v>45480</v>
      </c>
      <c r="H261" t="s">
        <v>56</v>
      </c>
      <c r="I261" s="2" t="s">
        <v>112</v>
      </c>
      <c r="J261" s="2" t="s">
        <v>113</v>
      </c>
      <c r="K261">
        <f>IFERROR(INDEX(Sheet2!$C$2:$C$1132,MATCH(Sheet1!C261,Sheet1!$C$2:$C$1132,0)),"")</f>
        <v>35000</v>
      </c>
      <c r="L261">
        <f>IFERROR(INDEX(Sheet2!$D$2:$D$1132,MATCH(Sheet1!C261,$C$2:$C$1132,0)),"")</f>
        <v>75000</v>
      </c>
      <c r="M261" t="str">
        <f>IFERROR(INDEX($M$2:$M$1132,MATCH(B261,$B$2:$B$1132,0)),"")</f>
        <v>RISK ANALYSIS, DATA ANALYSIS, EXCEL, STATISTICS</v>
      </c>
      <c r="N261" t="s">
        <v>76</v>
      </c>
      <c r="O261" t="s">
        <v>80</v>
      </c>
    </row>
    <row r="262" spans="1:15" x14ac:dyDescent="0.25">
      <c r="A262">
        <v>18110</v>
      </c>
      <c r="B262" t="s">
        <v>21</v>
      </c>
      <c r="C262" t="s">
        <v>37</v>
      </c>
      <c r="D262" t="s">
        <v>43</v>
      </c>
      <c r="E262" t="s">
        <v>48</v>
      </c>
      <c r="F262" t="s">
        <v>54</v>
      </c>
      <c r="G262" s="1">
        <v>45429</v>
      </c>
      <c r="H262" t="s">
        <v>56</v>
      </c>
      <c r="I262" s="2" t="s">
        <v>114</v>
      </c>
      <c r="J262" s="2" t="s">
        <v>115</v>
      </c>
      <c r="K262">
        <v>45000</v>
      </c>
      <c r="L262">
        <v>90000</v>
      </c>
      <c r="M262" t="str">
        <f>IFERROR(INDEX($M$2:$M$1132,MATCH(B262,$B$2:$B$1132,0)),"")</f>
        <v>RISK ANALYSIS, DATA ANALYSIS, EXCEL, STATISTICS</v>
      </c>
      <c r="N262" t="s">
        <v>76</v>
      </c>
      <c r="O262" t="s">
        <v>77</v>
      </c>
    </row>
    <row r="263" spans="1:15" x14ac:dyDescent="0.25">
      <c r="A263">
        <v>18111</v>
      </c>
      <c r="B263" t="s">
        <v>21</v>
      </c>
      <c r="C263" t="s">
        <v>38</v>
      </c>
      <c r="D263" t="s">
        <v>42</v>
      </c>
      <c r="E263" t="s">
        <v>48</v>
      </c>
      <c r="F263" t="s">
        <v>54</v>
      </c>
      <c r="G263" s="1">
        <v>45629</v>
      </c>
      <c r="H263" t="s">
        <v>56</v>
      </c>
      <c r="I263" s="2" t="s">
        <v>116</v>
      </c>
      <c r="J263" s="2" t="s">
        <v>117</v>
      </c>
      <c r="K263">
        <v>20000</v>
      </c>
      <c r="L263">
        <v>80000</v>
      </c>
      <c r="M263" t="str">
        <f>IFERROR(INDEX($M$2:$M$1132,MATCH(B263,$B$2:$B$1132,0)),"")</f>
        <v>RISK ANALYSIS, DATA ANALYSIS, EXCEL, STATISTICS</v>
      </c>
      <c r="N263" t="s">
        <v>76</v>
      </c>
      <c r="O263" t="s">
        <v>79</v>
      </c>
    </row>
    <row r="264" spans="1:15" x14ac:dyDescent="0.25">
      <c r="A264">
        <v>18112</v>
      </c>
      <c r="B264" t="s">
        <v>21</v>
      </c>
      <c r="C264" t="s">
        <v>39</v>
      </c>
      <c r="D264" t="s">
        <v>42</v>
      </c>
      <c r="E264" t="s">
        <v>48</v>
      </c>
      <c r="F264" t="s">
        <v>54</v>
      </c>
      <c r="G264" s="1">
        <v>45432</v>
      </c>
      <c r="H264" t="s">
        <v>56</v>
      </c>
      <c r="I264" s="2" t="s">
        <v>118</v>
      </c>
      <c r="J264" s="2" t="s">
        <v>119</v>
      </c>
      <c r="K264">
        <v>25000</v>
      </c>
      <c r="L264">
        <v>85000</v>
      </c>
      <c r="M264" t="str">
        <f>IFERROR(INDEX($M$2:$M$1132,MATCH(B264,$B$2:$B$1132,0)),"")</f>
        <v>RISK ANALYSIS, DATA ANALYSIS, EXCEL, STATISTICS</v>
      </c>
      <c r="N264" t="s">
        <v>76</v>
      </c>
      <c r="O264" t="s">
        <v>37</v>
      </c>
    </row>
    <row r="265" spans="1:15" x14ac:dyDescent="0.25">
      <c r="A265">
        <v>18113</v>
      </c>
      <c r="B265" t="s">
        <v>21</v>
      </c>
      <c r="C265" t="s">
        <v>23</v>
      </c>
      <c r="D265" t="str">
        <f>IFERROR(INDEX(Sheet2!$B$2:$B$1132,MATCH(Sheet1!C265,Sheet1!$C$2:$C$1132,0)),"IDK")</f>
        <v>IT</v>
      </c>
      <c r="E265" t="s">
        <v>48</v>
      </c>
      <c r="F265" t="s">
        <v>54</v>
      </c>
      <c r="G265" s="1">
        <v>45293</v>
      </c>
      <c r="H265" t="s">
        <v>56</v>
      </c>
      <c r="I265" s="2" t="s">
        <v>118</v>
      </c>
      <c r="J265" s="2" t="s">
        <v>120</v>
      </c>
      <c r="K265">
        <f>IFERROR(INDEX(Sheet2!$C$2:$C$1132,MATCH(Sheet1!C265,Sheet1!$C$2:$C$1132,0)),"")</f>
        <v>35000</v>
      </c>
      <c r="L265">
        <f>IFERROR(INDEX(Sheet2!$D$2:$D$1132,MATCH(Sheet1!C265,$C$2:$C$1132,0)),"")</f>
        <v>70000</v>
      </c>
      <c r="M265" t="str">
        <f>IFERROR(INDEX($M$2:$M$1132,MATCH(B265,$B$2:$B$1132,0)),"")</f>
        <v>RISK ANALYSIS, DATA ANALYSIS, EXCEL, STATISTICS</v>
      </c>
      <c r="N265" t="s">
        <v>76</v>
      </c>
      <c r="O265" t="s">
        <v>78</v>
      </c>
    </row>
    <row r="266" spans="1:15" x14ac:dyDescent="0.25">
      <c r="A266">
        <v>18114</v>
      </c>
      <c r="B266" t="s">
        <v>21</v>
      </c>
      <c r="C266" t="s">
        <v>30</v>
      </c>
      <c r="D266" t="str">
        <f>IFERROR(INDEX(Sheet2!$B$2:$B$1132,MATCH(Sheet1!C266,Sheet1!$C$2:$C$1132,0)),"IDK")</f>
        <v>IT</v>
      </c>
      <c r="E266" t="s">
        <v>48</v>
      </c>
      <c r="F266" t="s">
        <v>54</v>
      </c>
      <c r="G266" s="1">
        <v>45648</v>
      </c>
      <c r="H266" t="s">
        <v>56</v>
      </c>
      <c r="I266" s="2" t="s">
        <v>121</v>
      </c>
      <c r="J266" s="2" t="s">
        <v>122</v>
      </c>
      <c r="K266">
        <f>IFERROR(INDEX(Sheet2!$C$2:$C$1132,MATCH(Sheet1!C266,Sheet1!$C$2:$C$1132,0)),"")</f>
        <v>25000</v>
      </c>
      <c r="L266">
        <f>IFERROR(INDEX(Sheet2!$D$2:$D$1132,MATCH(Sheet1!C266,$C$2:$C$1132,0)),"")</f>
        <v>60000</v>
      </c>
      <c r="M266" t="str">
        <f>IFERROR(INDEX($M$2:$M$1132,MATCH(B266,$B$2:$B$1132,0)),"")</f>
        <v>RISK ANALYSIS, DATA ANALYSIS, EXCEL, STATISTICS</v>
      </c>
      <c r="N266" t="s">
        <v>76</v>
      </c>
      <c r="O266" t="s">
        <v>80</v>
      </c>
    </row>
    <row r="267" spans="1:15" x14ac:dyDescent="0.25">
      <c r="A267">
        <v>18115</v>
      </c>
      <c r="B267" t="s">
        <v>21</v>
      </c>
      <c r="C267" t="s">
        <v>31</v>
      </c>
      <c r="D267" t="str">
        <f>IFERROR(INDEX(Sheet2!$B$2:$B$1132,MATCH(Sheet1!C267,Sheet1!$C$2:$C$1132,0)),"IDK")</f>
        <v>IT</v>
      </c>
      <c r="E267" t="s">
        <v>48</v>
      </c>
      <c r="F267" t="s">
        <v>54</v>
      </c>
      <c r="G267" s="1">
        <v>45456</v>
      </c>
      <c r="H267" t="s">
        <v>56</v>
      </c>
      <c r="I267" s="2" t="s">
        <v>123</v>
      </c>
      <c r="J267" s="2" t="s">
        <v>124</v>
      </c>
      <c r="K267">
        <f>IFERROR(INDEX(Sheet2!$C$2:$C$1132,MATCH(Sheet1!C267,Sheet1!$C$2:$C$1132,0)),"")</f>
        <v>25000</v>
      </c>
      <c r="L267">
        <f>IFERROR(INDEX(Sheet2!$D$2:$D$1132,MATCH(Sheet1!C267,$C$2:$C$1132,0)),"")</f>
        <v>75000</v>
      </c>
      <c r="M267" t="str">
        <f>IFERROR(INDEX($M$2:$M$1132,MATCH(B267,$B$2:$B$1132,0)),"")</f>
        <v>RISK ANALYSIS, DATA ANALYSIS, EXCEL, STATISTICS</v>
      </c>
      <c r="N267" t="s">
        <v>76</v>
      </c>
      <c r="O267" t="s">
        <v>79</v>
      </c>
    </row>
    <row r="268" spans="1:15" x14ac:dyDescent="0.25">
      <c r="A268">
        <v>18116</v>
      </c>
      <c r="B268" t="s">
        <v>21</v>
      </c>
      <c r="C268" t="s">
        <v>32</v>
      </c>
      <c r="D268" t="str">
        <f>IFERROR(INDEX(Sheet2!$B$2:$B$1132,MATCH(Sheet1!C268,Sheet1!$C$2:$C$1132,0)),"IDK")</f>
        <v>SOCIAL</v>
      </c>
      <c r="E268" t="s">
        <v>48</v>
      </c>
      <c r="F268" t="s">
        <v>54</v>
      </c>
      <c r="G268" s="1">
        <v>45395</v>
      </c>
      <c r="H268" t="s">
        <v>56</v>
      </c>
      <c r="I268" s="2" t="s">
        <v>125</v>
      </c>
      <c r="J268" s="2" t="s">
        <v>126</v>
      </c>
      <c r="K268">
        <f>IFERROR(INDEX(Sheet2!$C$2:$C$1132,MATCH(Sheet1!C268,Sheet1!$C$2:$C$1132,0)),"")</f>
        <v>20000</v>
      </c>
      <c r="L268">
        <f>IFERROR(INDEX(Sheet2!$D$2:$D$1132,MATCH(Sheet1!C268,$C$2:$C$1132,0)),"")</f>
        <v>70000</v>
      </c>
      <c r="M268" t="str">
        <f>IFERROR(INDEX($M$2:$M$1132,MATCH(B268,$B$2:$B$1132,0)),"")</f>
        <v>RISK ANALYSIS, DATA ANALYSIS, EXCEL, STATISTICS</v>
      </c>
      <c r="N268" t="s">
        <v>75</v>
      </c>
      <c r="O268" t="s">
        <v>37</v>
      </c>
    </row>
    <row r="269" spans="1:15" x14ac:dyDescent="0.25">
      <c r="A269">
        <v>18117</v>
      </c>
      <c r="B269" t="s">
        <v>21</v>
      </c>
      <c r="C269" t="s">
        <v>33</v>
      </c>
      <c r="D269" t="str">
        <f>IFERROR(INDEX(Sheet2!$B$2:$B$1132,MATCH(Sheet1!C269,Sheet1!$C$2:$C$1132,0)),"IDK")</f>
        <v>FINANCE</v>
      </c>
      <c r="E269" t="s">
        <v>48</v>
      </c>
      <c r="F269" t="s">
        <v>54</v>
      </c>
      <c r="G269" s="1">
        <v>45391</v>
      </c>
      <c r="H269" t="s">
        <v>56</v>
      </c>
      <c r="I269" s="2" t="s">
        <v>127</v>
      </c>
      <c r="J269" s="2" t="s">
        <v>128</v>
      </c>
      <c r="K269">
        <f>IFERROR(INDEX(Sheet2!$C$2:$C$1132,MATCH(Sheet1!C269,Sheet1!$C$2:$C$1132,0)),"")</f>
        <v>40000</v>
      </c>
      <c r="L269">
        <f>IFERROR(INDEX(Sheet2!$D$2:$D$1132,MATCH(Sheet1!C269,$C$2:$C$1132,0)),"")</f>
        <v>85000</v>
      </c>
      <c r="M269" t="str">
        <f>IFERROR(INDEX($M$2:$M$1132,MATCH(B269,$B$2:$B$1132,0)),"")</f>
        <v>RISK ANALYSIS, DATA ANALYSIS, EXCEL, STATISTICS</v>
      </c>
      <c r="N269" t="s">
        <v>75</v>
      </c>
      <c r="O269" t="s">
        <v>78</v>
      </c>
    </row>
    <row r="270" spans="1:15" x14ac:dyDescent="0.25">
      <c r="A270">
        <v>18118</v>
      </c>
      <c r="B270" t="s">
        <v>21</v>
      </c>
      <c r="C270" t="s">
        <v>23</v>
      </c>
      <c r="D270" t="str">
        <f>IFERROR(INDEX(Sheet2!$B$2:$B$1132,MATCH(Sheet1!C270,Sheet1!$C$2:$C$1132,0)),"IDK")</f>
        <v>IT</v>
      </c>
      <c r="E270" t="s">
        <v>48</v>
      </c>
      <c r="F270" t="s">
        <v>54</v>
      </c>
      <c r="G270" s="1">
        <v>45388</v>
      </c>
      <c r="H270" t="s">
        <v>56</v>
      </c>
      <c r="I270" s="2" t="s">
        <v>106</v>
      </c>
      <c r="J270" s="2" t="s">
        <v>107</v>
      </c>
      <c r="K270">
        <f>IFERROR(INDEX(Sheet2!$C$2:$C$1132,MATCH(Sheet1!C270,Sheet1!$C$2:$C$1132,0)),"")</f>
        <v>35000</v>
      </c>
      <c r="L270">
        <f>IFERROR(INDEX(Sheet2!$D$2:$D$1132,MATCH(Sheet1!C270,$C$2:$C$1132,0)),"")</f>
        <v>70000</v>
      </c>
      <c r="M270" t="str">
        <f>IFERROR(INDEX($M$2:$M$1132,MATCH(B270,$B$2:$B$1132,0)),"")</f>
        <v>RISK ANALYSIS, DATA ANALYSIS, EXCEL, STATISTICS</v>
      </c>
      <c r="N270" t="s">
        <v>75</v>
      </c>
      <c r="O270" t="s">
        <v>79</v>
      </c>
    </row>
    <row r="271" spans="1:15" x14ac:dyDescent="0.25">
      <c r="A271">
        <v>18119</v>
      </c>
      <c r="B271" t="s">
        <v>21</v>
      </c>
      <c r="C271" t="s">
        <v>24</v>
      </c>
      <c r="D271" t="str">
        <f>IFERROR(INDEX(Sheet2!$B$2:$B$1132,MATCH(Sheet1!C271,Sheet1!$C$2:$C$1132,0)),"IDK")</f>
        <v>HEALTH</v>
      </c>
      <c r="E271" t="s">
        <v>49</v>
      </c>
      <c r="F271" t="s">
        <v>54</v>
      </c>
      <c r="G271" s="1">
        <v>45370</v>
      </c>
      <c r="H271" t="s">
        <v>56</v>
      </c>
      <c r="I271" s="2" t="s">
        <v>106</v>
      </c>
      <c r="J271" s="2" t="s">
        <v>108</v>
      </c>
      <c r="K271">
        <f>IFERROR(INDEX(Sheet2!$C$2:$C$1132,MATCH(Sheet1!C271,Sheet1!$C$2:$C$1132,0)),"")</f>
        <v>25000</v>
      </c>
      <c r="L271">
        <f>IFERROR(INDEX(Sheet2!$D$2:$D$1132,MATCH(Sheet1!C271,$C$2:$C$1132,0)),"")</f>
        <v>50000</v>
      </c>
      <c r="M271" t="str">
        <f>IFERROR(INDEX($M$2:$M$1132,MATCH(B271,$B$2:$B$1132,0)),"")</f>
        <v>RISK ANALYSIS, DATA ANALYSIS, EXCEL, STATISTICS</v>
      </c>
      <c r="N271" t="s">
        <v>75</v>
      </c>
      <c r="O271" t="s">
        <v>80</v>
      </c>
    </row>
    <row r="272" spans="1:15" x14ac:dyDescent="0.25">
      <c r="A272">
        <v>18120</v>
      </c>
      <c r="B272" t="s">
        <v>21</v>
      </c>
      <c r="C272" t="s">
        <v>25</v>
      </c>
      <c r="D272" t="str">
        <f>IFERROR(INDEX(Sheet2!$B$2:$B$1132,MATCH(Sheet1!C272,Sheet1!$C$2:$C$1132,0)),"IDK")</f>
        <v>SOCIAL</v>
      </c>
      <c r="E272" t="s">
        <v>49</v>
      </c>
      <c r="F272" t="s">
        <v>54</v>
      </c>
      <c r="G272" s="1">
        <v>45420</v>
      </c>
      <c r="H272" t="s">
        <v>56</v>
      </c>
      <c r="I272" s="2" t="s">
        <v>109</v>
      </c>
      <c r="J272" s="2" t="s">
        <v>110</v>
      </c>
      <c r="K272">
        <f>IFERROR(INDEX(Sheet2!$C$2:$C$1132,MATCH(Sheet1!C272,Sheet1!$C$2:$C$1132,0)),"")</f>
        <v>30000</v>
      </c>
      <c r="L272">
        <f>IFERROR(INDEX(Sheet2!$D$2:$D$1132,MATCH(Sheet1!C272,$C$2:$C$1132,0)),"")</f>
        <v>60000</v>
      </c>
      <c r="M272" t="str">
        <f>IFERROR(INDEX($M$2:$M$1132,MATCH(B272,$B$2:$B$1132,0)),"")</f>
        <v>RISK ANALYSIS, DATA ANALYSIS, EXCEL, STATISTICS</v>
      </c>
      <c r="N272" t="s">
        <v>75</v>
      </c>
      <c r="O272" t="s">
        <v>77</v>
      </c>
    </row>
    <row r="273" spans="1:15" x14ac:dyDescent="0.25">
      <c r="A273">
        <v>18121</v>
      </c>
      <c r="B273" t="s">
        <v>21</v>
      </c>
      <c r="C273" t="s">
        <v>26</v>
      </c>
      <c r="D273" t="str">
        <f>IFERROR(INDEX(Sheet2!$B$2:$B$1132,MATCH(Sheet1!C273,Sheet1!$C$2:$C$1132,0)),"IDK")</f>
        <v>FINANCE</v>
      </c>
      <c r="E273" t="s">
        <v>49</v>
      </c>
      <c r="F273" t="s">
        <v>54</v>
      </c>
      <c r="G273" s="1">
        <v>45407</v>
      </c>
      <c r="H273" t="s">
        <v>56</v>
      </c>
      <c r="I273" s="2" t="s">
        <v>109</v>
      </c>
      <c r="J273" s="2" t="s">
        <v>111</v>
      </c>
      <c r="K273">
        <f>IFERROR(INDEX(Sheet2!$C$2:$C$1132,MATCH(Sheet1!C273,Sheet1!$C$2:$C$1132,0)),"")</f>
        <v>35000</v>
      </c>
      <c r="L273">
        <f>IFERROR(INDEX(Sheet2!$D$2:$D$1132,MATCH(Sheet1!C273,$C$2:$C$1132,0)),"")</f>
        <v>75000</v>
      </c>
      <c r="M273" t="str">
        <f>IFERROR(INDEX($M$2:$M$1132,MATCH(B273,$B$2:$B$1132,0)),"")</f>
        <v>RISK ANALYSIS, DATA ANALYSIS, EXCEL, STATISTICS</v>
      </c>
      <c r="N273" t="s">
        <v>75</v>
      </c>
      <c r="O273" t="s">
        <v>79</v>
      </c>
    </row>
    <row r="274" spans="1:15" x14ac:dyDescent="0.25">
      <c r="A274">
        <v>18122</v>
      </c>
      <c r="B274" t="s">
        <v>21</v>
      </c>
      <c r="C274" t="s">
        <v>27</v>
      </c>
      <c r="D274" t="str">
        <f>IFERROR(INDEX(Sheet2!$B$2:$B$1132,MATCH(Sheet1!C274,Sheet1!$C$2:$C$1132,0)),"IDK")</f>
        <v>IT</v>
      </c>
      <c r="E274" t="s">
        <v>49</v>
      </c>
      <c r="F274" t="s">
        <v>54</v>
      </c>
      <c r="G274" s="1">
        <v>45638</v>
      </c>
      <c r="H274" t="s">
        <v>56</v>
      </c>
      <c r="I274" s="2" t="s">
        <v>109</v>
      </c>
      <c r="J274" s="2" t="s">
        <v>110</v>
      </c>
      <c r="K274">
        <f>IFERROR(INDEX(Sheet2!$C$2:$C$1132,MATCH(Sheet1!C274,Sheet1!$C$2:$C$1132,0)),"")</f>
        <v>40000</v>
      </c>
      <c r="L274">
        <f>IFERROR(INDEX(Sheet2!$D$2:$D$1132,MATCH(Sheet1!C274,$C$2:$C$1132,0)),"")</f>
        <v>80000</v>
      </c>
      <c r="M274" t="str">
        <f>IFERROR(INDEX($M$2:$M$1132,MATCH(B274,$B$2:$B$1132,0)),"")</f>
        <v>RISK ANALYSIS, DATA ANALYSIS, EXCEL, STATISTICS</v>
      </c>
      <c r="N274" t="s">
        <v>75</v>
      </c>
      <c r="O274" t="s">
        <v>37</v>
      </c>
    </row>
    <row r="275" spans="1:15" x14ac:dyDescent="0.25">
      <c r="A275">
        <v>18123</v>
      </c>
      <c r="B275" t="s">
        <v>21</v>
      </c>
      <c r="C275" t="s">
        <v>28</v>
      </c>
      <c r="D275" t="str">
        <f>IFERROR(INDEX(Sheet2!$B$2:$B$1132,MATCH(Sheet1!C275,Sheet1!$C$2:$C$1132,0)),"IDK")</f>
        <v>IT</v>
      </c>
      <c r="E275" t="s">
        <v>49</v>
      </c>
      <c r="F275" t="s">
        <v>54</v>
      </c>
      <c r="G275" s="1">
        <v>45585</v>
      </c>
      <c r="H275" t="s">
        <v>56</v>
      </c>
      <c r="I275" s="2" t="s">
        <v>109</v>
      </c>
      <c r="J275" s="2" t="s">
        <v>111</v>
      </c>
      <c r="K275">
        <f>IFERROR(INDEX(Sheet2!$C$2:$C$1132,MATCH(Sheet1!C275,Sheet1!$C$2:$C$1132,0)),"")</f>
        <v>30000</v>
      </c>
      <c r="L275">
        <f>IFERROR(INDEX(Sheet2!$D$2:$D$1132,MATCH(Sheet1!C275,$C$2:$C$1132,0)),"")</f>
        <v>55000</v>
      </c>
      <c r="M275" t="str">
        <f>IFERROR(INDEX($M$2:$M$1132,MATCH(B275,$B$2:$B$1132,0)),"")</f>
        <v>RISK ANALYSIS, DATA ANALYSIS, EXCEL, STATISTICS</v>
      </c>
      <c r="N275" t="s">
        <v>75</v>
      </c>
      <c r="O275" t="s">
        <v>78</v>
      </c>
    </row>
    <row r="276" spans="1:15" x14ac:dyDescent="0.25">
      <c r="A276">
        <v>18124</v>
      </c>
      <c r="B276" t="s">
        <v>22</v>
      </c>
      <c r="C276" t="s">
        <v>29</v>
      </c>
      <c r="D276" t="str">
        <f>IFERROR(INDEX(Sheet2!$B$2:$B$1132,MATCH(Sheet1!C276,Sheet1!$C$2:$C$1132,0)),"IDK")</f>
        <v>IT</v>
      </c>
      <c r="E276" t="s">
        <v>49</v>
      </c>
      <c r="F276" t="s">
        <v>54</v>
      </c>
      <c r="G276" s="1">
        <v>45374</v>
      </c>
      <c r="H276" t="s">
        <v>56</v>
      </c>
      <c r="I276" s="2" t="s">
        <v>112</v>
      </c>
      <c r="J276" s="2" t="s">
        <v>113</v>
      </c>
      <c r="K276">
        <f>IFERROR(INDEX(Sheet2!$C$2:$C$1132,MATCH(Sheet1!C276,Sheet1!$C$2:$C$1132,0)),"")</f>
        <v>35000</v>
      </c>
      <c r="L276">
        <f>IFERROR(INDEX(Sheet2!$D$2:$D$1132,MATCH(Sheet1!C276,$C$2:$C$1132,0)),"")</f>
        <v>70000</v>
      </c>
      <c r="M276" t="str">
        <f>IFERROR(INDEX($M$2:$M$1132,MATCH(B276,$B$2:$B$1132,0)),"")</f>
        <v>GOOGLE ANALYTICS, SEO, SOCIAL MEDIA ANALYTICS, EXCEL</v>
      </c>
      <c r="N276" t="s">
        <v>74</v>
      </c>
      <c r="O276" t="s">
        <v>80</v>
      </c>
    </row>
    <row r="277" spans="1:15" x14ac:dyDescent="0.25">
      <c r="A277">
        <v>18125</v>
      </c>
      <c r="B277" t="s">
        <v>22</v>
      </c>
      <c r="C277" t="s">
        <v>23</v>
      </c>
      <c r="D277" t="str">
        <f>IFERROR(INDEX(Sheet2!$B$2:$B$1132,MATCH(Sheet1!C277,Sheet1!$C$2:$C$1132,0)),"IDK")</f>
        <v>IT</v>
      </c>
      <c r="E277" t="s">
        <v>49</v>
      </c>
      <c r="F277" t="s">
        <v>54</v>
      </c>
      <c r="G277" s="1">
        <v>45478</v>
      </c>
      <c r="H277" t="s">
        <v>56</v>
      </c>
      <c r="I277" s="2" t="s">
        <v>114</v>
      </c>
      <c r="J277" s="2" t="s">
        <v>115</v>
      </c>
      <c r="K277">
        <f>IFERROR(INDEX(Sheet2!$C$2:$C$1132,MATCH(Sheet1!C277,Sheet1!$C$2:$C$1132,0)),"")</f>
        <v>35000</v>
      </c>
      <c r="L277">
        <f>IFERROR(INDEX(Sheet2!$D$2:$D$1132,MATCH(Sheet1!C277,$C$2:$C$1132,0)),"")</f>
        <v>70000</v>
      </c>
      <c r="M277" t="str">
        <f>IFERROR(INDEX($M$2:$M$1132,MATCH(B277,$B$2:$B$1132,0)),"")</f>
        <v>GOOGLE ANALYTICS, SEO, SOCIAL MEDIA ANALYTICS, EXCEL</v>
      </c>
      <c r="N277" t="s">
        <v>74</v>
      </c>
      <c r="O277" t="s">
        <v>79</v>
      </c>
    </row>
    <row r="278" spans="1:15" x14ac:dyDescent="0.25">
      <c r="A278">
        <v>18126</v>
      </c>
      <c r="B278" t="s">
        <v>22</v>
      </c>
      <c r="C278" t="s">
        <v>30</v>
      </c>
      <c r="D278" t="str">
        <f>IFERROR(INDEX(Sheet2!$B$2:$B$1132,MATCH(Sheet1!C278,Sheet1!$C$2:$C$1132,0)),"IDK")</f>
        <v>IT</v>
      </c>
      <c r="E278" t="s">
        <v>49</v>
      </c>
      <c r="F278" t="s">
        <v>54</v>
      </c>
      <c r="G278" s="1">
        <v>45312</v>
      </c>
      <c r="H278" t="s">
        <v>56</v>
      </c>
      <c r="I278" s="2" t="s">
        <v>116</v>
      </c>
      <c r="J278" s="2" t="s">
        <v>117</v>
      </c>
      <c r="K278">
        <f>IFERROR(INDEX(Sheet2!$C$2:$C$1132,MATCH(Sheet1!C278,Sheet1!$C$2:$C$1132,0)),"")</f>
        <v>25000</v>
      </c>
      <c r="L278">
        <f>IFERROR(INDEX(Sheet2!$D$2:$D$1132,MATCH(Sheet1!C278,$C$2:$C$1132,0)),"")</f>
        <v>60000</v>
      </c>
      <c r="M278" t="str">
        <f>IFERROR(INDEX($M$2:$M$1132,MATCH(B278,$B$2:$B$1132,0)),"")</f>
        <v>GOOGLE ANALYTICS, SEO, SOCIAL MEDIA ANALYTICS, EXCEL</v>
      </c>
      <c r="N278" t="s">
        <v>74</v>
      </c>
      <c r="O278" t="s">
        <v>37</v>
      </c>
    </row>
    <row r="279" spans="1:15" x14ac:dyDescent="0.25">
      <c r="A279">
        <v>18127</v>
      </c>
      <c r="B279" t="s">
        <v>22</v>
      </c>
      <c r="C279" t="s">
        <v>31</v>
      </c>
      <c r="D279" t="str">
        <f>IFERROR(INDEX(Sheet2!$B$2:$B$1132,MATCH(Sheet1!C279,Sheet1!$C$2:$C$1132,0)),"IDK")</f>
        <v>IT</v>
      </c>
      <c r="E279" t="s">
        <v>49</v>
      </c>
      <c r="F279" t="s">
        <v>54</v>
      </c>
      <c r="G279" s="1">
        <v>45390</v>
      </c>
      <c r="H279" t="s">
        <v>56</v>
      </c>
      <c r="I279" s="2" t="s">
        <v>118</v>
      </c>
      <c r="J279" s="2" t="s">
        <v>119</v>
      </c>
      <c r="K279">
        <f>IFERROR(INDEX(Sheet2!$C$2:$C$1132,MATCH(Sheet1!C279,Sheet1!$C$2:$C$1132,0)),"")</f>
        <v>25000</v>
      </c>
      <c r="L279">
        <f>IFERROR(INDEX(Sheet2!$D$2:$D$1132,MATCH(Sheet1!C279,$C$2:$C$1132,0)),"")</f>
        <v>75000</v>
      </c>
      <c r="M279" t="str">
        <f>IFERROR(INDEX($M$2:$M$1132,MATCH(B279,$B$2:$B$1132,0)),"")</f>
        <v>GOOGLE ANALYTICS, SEO, SOCIAL MEDIA ANALYTICS, EXCEL</v>
      </c>
      <c r="N279" t="s">
        <v>74</v>
      </c>
      <c r="O279" t="s">
        <v>78</v>
      </c>
    </row>
    <row r="280" spans="1:15" x14ac:dyDescent="0.25">
      <c r="A280">
        <v>18128</v>
      </c>
      <c r="B280" t="s">
        <v>22</v>
      </c>
      <c r="C280" t="s">
        <v>32</v>
      </c>
      <c r="D280" t="str">
        <f>IFERROR(INDEX(Sheet2!$B$2:$B$1132,MATCH(Sheet1!C280,Sheet1!$C$2:$C$1132,0)),"IDK")</f>
        <v>SOCIAL</v>
      </c>
      <c r="E280" t="s">
        <v>49</v>
      </c>
      <c r="F280" t="s">
        <v>54</v>
      </c>
      <c r="G280" s="1">
        <v>45490</v>
      </c>
      <c r="H280" t="s">
        <v>56</v>
      </c>
      <c r="I280" s="2" t="s">
        <v>118</v>
      </c>
      <c r="J280" s="2" t="s">
        <v>120</v>
      </c>
      <c r="K280">
        <f>IFERROR(INDEX(Sheet2!$C$2:$C$1132,MATCH(Sheet1!C280,Sheet1!$C$2:$C$1132,0)),"")</f>
        <v>20000</v>
      </c>
      <c r="L280">
        <f>IFERROR(INDEX(Sheet2!$D$2:$D$1132,MATCH(Sheet1!C280,$C$2:$C$1132,0)),"")</f>
        <v>70000</v>
      </c>
      <c r="M280" t="str">
        <f>IFERROR(INDEX($M$2:$M$1132,MATCH(B280,$B$2:$B$1132,0)),"")</f>
        <v>GOOGLE ANALYTICS, SEO, SOCIAL MEDIA ANALYTICS, EXCEL</v>
      </c>
      <c r="N280" t="s">
        <v>74</v>
      </c>
      <c r="O280" t="s">
        <v>79</v>
      </c>
    </row>
    <row r="281" spans="1:15" x14ac:dyDescent="0.25">
      <c r="A281">
        <v>18129</v>
      </c>
      <c r="B281" t="s">
        <v>22</v>
      </c>
      <c r="C281" t="s">
        <v>33</v>
      </c>
      <c r="D281" t="str">
        <f>IFERROR(INDEX(Sheet2!$B$2:$B$1132,MATCH(Sheet1!C281,Sheet1!$C$2:$C$1132,0)),"IDK")</f>
        <v>FINANCE</v>
      </c>
      <c r="E281" t="s">
        <v>49</v>
      </c>
      <c r="F281" t="s">
        <v>54</v>
      </c>
      <c r="G281" s="1">
        <v>45506</v>
      </c>
      <c r="H281" t="s">
        <v>56</v>
      </c>
      <c r="I281" s="2" t="s">
        <v>121</v>
      </c>
      <c r="J281" s="2" t="s">
        <v>122</v>
      </c>
      <c r="K281">
        <f>IFERROR(INDEX(Sheet2!$C$2:$C$1132,MATCH(Sheet1!C281,Sheet1!$C$2:$C$1132,0)),"")</f>
        <v>40000</v>
      </c>
      <c r="L281">
        <f>IFERROR(INDEX(Sheet2!$D$2:$D$1132,MATCH(Sheet1!C281,$C$2:$C$1132,0)),"")</f>
        <v>85000</v>
      </c>
      <c r="M281" t="str">
        <f>IFERROR(INDEX($M$2:$M$1132,MATCH(B281,$B$2:$B$1132,0)),"")</f>
        <v>GOOGLE ANALYTICS, SEO, SOCIAL MEDIA ANALYTICS, EXCEL</v>
      </c>
      <c r="N281" t="s">
        <v>74</v>
      </c>
      <c r="O281" t="s">
        <v>80</v>
      </c>
    </row>
    <row r="282" spans="1:15" x14ac:dyDescent="0.25">
      <c r="A282">
        <v>18130</v>
      </c>
      <c r="B282" t="s">
        <v>22</v>
      </c>
      <c r="C282" t="s">
        <v>24</v>
      </c>
      <c r="D282" t="str">
        <f>IFERROR(INDEX(Sheet2!$B$2:$B$1132,MATCH(Sheet1!C282,Sheet1!$C$2:$C$1132,0)),"IDK")</f>
        <v>HEALTH</v>
      </c>
      <c r="E282" t="s">
        <v>49</v>
      </c>
      <c r="F282" t="s">
        <v>54</v>
      </c>
      <c r="G282" s="1">
        <v>45614</v>
      </c>
      <c r="H282" t="s">
        <v>56</v>
      </c>
      <c r="I282" s="2" t="s">
        <v>123</v>
      </c>
      <c r="J282" s="2" t="s">
        <v>124</v>
      </c>
      <c r="K282">
        <f>IFERROR(INDEX(Sheet2!$C$2:$C$1132,MATCH(Sheet1!C282,Sheet1!$C$2:$C$1132,0)),"")</f>
        <v>25000</v>
      </c>
      <c r="L282">
        <f>IFERROR(INDEX(Sheet2!$D$2:$D$1132,MATCH(Sheet1!C282,$C$2:$C$1132,0)),"")</f>
        <v>50000</v>
      </c>
      <c r="M282" t="str">
        <f>IFERROR(INDEX($M$2:$M$1132,MATCH(B282,$B$2:$B$1132,0)),"")</f>
        <v>GOOGLE ANALYTICS, SEO, SOCIAL MEDIA ANALYTICS, EXCEL</v>
      </c>
      <c r="N282" t="s">
        <v>74</v>
      </c>
      <c r="O282" t="s">
        <v>77</v>
      </c>
    </row>
    <row r="283" spans="1:15" x14ac:dyDescent="0.25">
      <c r="A283">
        <v>18131</v>
      </c>
      <c r="B283" t="s">
        <v>22</v>
      </c>
      <c r="C283" t="s">
        <v>25</v>
      </c>
      <c r="D283" t="str">
        <f>IFERROR(INDEX(Sheet2!$B$2:$B$1132,MATCH(Sheet1!C283,Sheet1!$C$2:$C$1132,0)),"IDK")</f>
        <v>SOCIAL</v>
      </c>
      <c r="E283" t="s">
        <v>49</v>
      </c>
      <c r="F283" t="s">
        <v>54</v>
      </c>
      <c r="G283" s="1">
        <v>45330</v>
      </c>
      <c r="H283" t="s">
        <v>56</v>
      </c>
      <c r="I283" s="2" t="s">
        <v>125</v>
      </c>
      <c r="J283" s="2" t="s">
        <v>126</v>
      </c>
      <c r="K283">
        <f>IFERROR(INDEX(Sheet2!$C$2:$C$1132,MATCH(Sheet1!C283,Sheet1!$C$2:$C$1132,0)),"")</f>
        <v>30000</v>
      </c>
      <c r="L283">
        <f>IFERROR(INDEX(Sheet2!$D$2:$D$1132,MATCH(Sheet1!C283,$C$2:$C$1132,0)),"")</f>
        <v>60000</v>
      </c>
      <c r="M283" t="str">
        <f>IFERROR(INDEX($M$2:$M$1132,MATCH(B283,$B$2:$B$1132,0)),"")</f>
        <v>GOOGLE ANALYTICS, SEO, SOCIAL MEDIA ANALYTICS, EXCEL</v>
      </c>
      <c r="N283" t="s">
        <v>74</v>
      </c>
      <c r="O283" t="s">
        <v>79</v>
      </c>
    </row>
    <row r="284" spans="1:15" x14ac:dyDescent="0.25">
      <c r="A284">
        <v>18132</v>
      </c>
      <c r="B284" t="s">
        <v>22</v>
      </c>
      <c r="C284" t="s">
        <v>26</v>
      </c>
      <c r="D284" t="str">
        <f>IFERROR(INDEX(Sheet2!$B$2:$B$1132,MATCH(Sheet1!C284,Sheet1!$C$2:$C$1132,0)),"IDK")</f>
        <v>FINANCE</v>
      </c>
      <c r="E284" t="s">
        <v>49</v>
      </c>
      <c r="F284" t="s">
        <v>54</v>
      </c>
      <c r="G284" s="1">
        <v>45551</v>
      </c>
      <c r="H284" t="s">
        <v>56</v>
      </c>
      <c r="I284" s="2" t="s">
        <v>127</v>
      </c>
      <c r="J284" s="2" t="s">
        <v>128</v>
      </c>
      <c r="K284">
        <f>IFERROR(INDEX(Sheet2!$C$2:$C$1132,MATCH(Sheet1!C284,Sheet1!$C$2:$C$1132,0)),"")</f>
        <v>35000</v>
      </c>
      <c r="L284">
        <f>IFERROR(INDEX(Sheet2!$D$2:$D$1132,MATCH(Sheet1!C284,$C$2:$C$1132,0)),"")</f>
        <v>75000</v>
      </c>
      <c r="M284" t="str">
        <f>IFERROR(INDEX($M$2:$M$1132,MATCH(B284,$B$2:$B$1132,0)),"")</f>
        <v>GOOGLE ANALYTICS, SEO, SOCIAL MEDIA ANALYTICS, EXCEL</v>
      </c>
      <c r="N284" t="s">
        <v>74</v>
      </c>
      <c r="O284" t="s">
        <v>37</v>
      </c>
    </row>
    <row r="285" spans="1:15" x14ac:dyDescent="0.25">
      <c r="A285">
        <v>18133</v>
      </c>
      <c r="B285" t="s">
        <v>22</v>
      </c>
      <c r="C285" t="s">
        <v>27</v>
      </c>
      <c r="D285" t="str">
        <f>IFERROR(INDEX(Sheet2!$B$2:$B$1132,MATCH(Sheet1!C285,Sheet1!$C$2:$C$1132,0)),"IDK")</f>
        <v>IT</v>
      </c>
      <c r="E285" t="s">
        <v>49</v>
      </c>
      <c r="F285" t="s">
        <v>54</v>
      </c>
      <c r="G285" s="1">
        <v>45595</v>
      </c>
      <c r="H285" t="s">
        <v>56</v>
      </c>
      <c r="I285" s="2" t="s">
        <v>121</v>
      </c>
      <c r="J285" s="2" t="s">
        <v>122</v>
      </c>
      <c r="K285">
        <f>IFERROR(INDEX(Sheet2!$C$2:$C$1132,MATCH(Sheet1!C285,Sheet1!$C$2:$C$1132,0)),"")</f>
        <v>40000</v>
      </c>
      <c r="L285">
        <f>IFERROR(INDEX(Sheet2!$D$2:$D$1132,MATCH(Sheet1!C285,$C$2:$C$1132,0)),"")</f>
        <v>80000</v>
      </c>
      <c r="M285" t="str">
        <f>IFERROR(INDEX($M$2:$M$1132,MATCH(B285,$B$2:$B$1132,0)),"")</f>
        <v>GOOGLE ANALYTICS, SEO, SOCIAL MEDIA ANALYTICS, EXCEL</v>
      </c>
      <c r="N285" t="s">
        <v>74</v>
      </c>
      <c r="O285" t="s">
        <v>78</v>
      </c>
    </row>
    <row r="286" spans="1:15" x14ac:dyDescent="0.25">
      <c r="A286">
        <v>18134</v>
      </c>
      <c r="B286" t="s">
        <v>22</v>
      </c>
      <c r="C286" t="s">
        <v>28</v>
      </c>
      <c r="D286" t="str">
        <f>IFERROR(INDEX(Sheet2!$B$2:$B$1132,MATCH(Sheet1!C286,Sheet1!$C$2:$C$1132,0)),"IDK")</f>
        <v>IT</v>
      </c>
      <c r="E286" t="s">
        <v>49</v>
      </c>
      <c r="F286" t="s">
        <v>54</v>
      </c>
      <c r="G286" s="1">
        <v>45527</v>
      </c>
      <c r="H286" t="s">
        <v>56</v>
      </c>
      <c r="I286" s="2" t="s">
        <v>123</v>
      </c>
      <c r="J286" s="2" t="s">
        <v>124</v>
      </c>
      <c r="K286">
        <f>IFERROR(INDEX(Sheet2!$C$2:$C$1132,MATCH(Sheet1!C286,Sheet1!$C$2:$C$1132,0)),"")</f>
        <v>30000</v>
      </c>
      <c r="L286">
        <f>IFERROR(INDEX(Sheet2!$D$2:$D$1132,MATCH(Sheet1!C286,$C$2:$C$1132,0)),"")</f>
        <v>55000</v>
      </c>
      <c r="M286" t="str">
        <f>IFERROR(INDEX($M$2:$M$1132,MATCH(B286,$B$2:$B$1132,0)),"")</f>
        <v>GOOGLE ANALYTICS, SEO, SOCIAL MEDIA ANALYTICS, EXCEL</v>
      </c>
      <c r="N286" t="s">
        <v>74</v>
      </c>
      <c r="O286" t="s">
        <v>78</v>
      </c>
    </row>
    <row r="287" spans="1:15" x14ac:dyDescent="0.25">
      <c r="A287">
        <v>18135</v>
      </c>
      <c r="B287" t="s">
        <v>22</v>
      </c>
      <c r="C287" t="s">
        <v>29</v>
      </c>
      <c r="D287" t="str">
        <f>IFERROR(INDEX(Sheet2!$B$2:$B$1132,MATCH(Sheet1!C287,Sheet1!$C$2:$C$1132,0)),"IDK")</f>
        <v>IT</v>
      </c>
      <c r="E287" t="s">
        <v>49</v>
      </c>
      <c r="F287" t="s">
        <v>54</v>
      </c>
      <c r="G287" s="1">
        <v>45298</v>
      </c>
      <c r="H287" t="s">
        <v>56</v>
      </c>
      <c r="I287" s="2" t="s">
        <v>125</v>
      </c>
      <c r="J287" s="2" t="s">
        <v>126</v>
      </c>
      <c r="K287">
        <f>IFERROR(INDEX(Sheet2!$C$2:$C$1132,MATCH(Sheet1!C287,Sheet1!$C$2:$C$1132,0)),"")</f>
        <v>35000</v>
      </c>
      <c r="L287">
        <f>IFERROR(INDEX(Sheet2!$D$2:$D$1132,MATCH(Sheet1!C287,$C$2:$C$1132,0)),"")</f>
        <v>70000</v>
      </c>
      <c r="M287" t="str">
        <f>IFERROR(INDEX($M$2:$M$1132,MATCH(B287,$B$2:$B$1132,0)),"")</f>
        <v>GOOGLE ANALYTICS, SEO, SOCIAL MEDIA ANALYTICS, EXCEL</v>
      </c>
      <c r="N287" t="s">
        <v>74</v>
      </c>
      <c r="O287" t="s">
        <v>79</v>
      </c>
    </row>
    <row r="288" spans="1:15" x14ac:dyDescent="0.25">
      <c r="A288">
        <v>18136</v>
      </c>
      <c r="B288" t="s">
        <v>22</v>
      </c>
      <c r="C288" t="s">
        <v>23</v>
      </c>
      <c r="D288" t="str">
        <f>IFERROR(INDEX(Sheet2!$B$2:$B$1132,MATCH(Sheet1!C288,Sheet1!$C$2:$C$1132,0)),"IDK")</f>
        <v>IT</v>
      </c>
      <c r="E288" t="s">
        <v>49</v>
      </c>
      <c r="F288" t="s">
        <v>54</v>
      </c>
      <c r="G288" s="1">
        <v>45609</v>
      </c>
      <c r="H288" t="s">
        <v>56</v>
      </c>
      <c r="I288" s="2" t="s">
        <v>127</v>
      </c>
      <c r="J288" s="2" t="s">
        <v>128</v>
      </c>
      <c r="K288">
        <f>IFERROR(INDEX(Sheet2!$C$2:$C$1132,MATCH(Sheet1!C288,Sheet1!$C$2:$C$1132,0)),"")</f>
        <v>35000</v>
      </c>
      <c r="L288">
        <f>IFERROR(INDEX(Sheet2!$D$2:$D$1132,MATCH(Sheet1!C288,$C$2:$C$1132,0)),"")</f>
        <v>70000</v>
      </c>
      <c r="M288" t="str">
        <f>IFERROR(INDEX($M$2:$M$1132,MATCH(B288,$B$2:$B$1132,0)),"")</f>
        <v>GOOGLE ANALYTICS, SEO, SOCIAL MEDIA ANALYTICS, EXCEL</v>
      </c>
      <c r="N288" t="s">
        <v>74</v>
      </c>
      <c r="O288" t="s">
        <v>80</v>
      </c>
    </row>
    <row r="289" spans="1:15" x14ac:dyDescent="0.25">
      <c r="A289">
        <v>18137</v>
      </c>
      <c r="B289" t="s">
        <v>22</v>
      </c>
      <c r="C289" t="s">
        <v>30</v>
      </c>
      <c r="D289" t="str">
        <f>IFERROR(INDEX(Sheet2!$B$2:$B$1132,MATCH(Sheet1!C289,Sheet1!$C$2:$C$1132,0)),"IDK")</f>
        <v>IT</v>
      </c>
      <c r="E289" t="s">
        <v>49</v>
      </c>
      <c r="F289" t="s">
        <v>54</v>
      </c>
      <c r="G289" s="1">
        <v>45420</v>
      </c>
      <c r="H289" t="s">
        <v>56</v>
      </c>
      <c r="I289" s="2" t="s">
        <v>109</v>
      </c>
      <c r="J289" s="2" t="s">
        <v>110</v>
      </c>
      <c r="K289">
        <f>IFERROR(INDEX(Sheet2!$C$2:$C$1132,MATCH(Sheet1!C289,Sheet1!$C$2:$C$1132,0)),"")</f>
        <v>25000</v>
      </c>
      <c r="L289">
        <f>IFERROR(INDEX(Sheet2!$D$2:$D$1132,MATCH(Sheet1!C289,$C$2:$C$1132,0)),"")</f>
        <v>60000</v>
      </c>
      <c r="M289" t="str">
        <f>IFERROR(INDEX($M$2:$M$1132,MATCH(B289,$B$2:$B$1132,0)),"")</f>
        <v>GOOGLE ANALYTICS, SEO, SOCIAL MEDIA ANALYTICS, EXCEL</v>
      </c>
      <c r="N289" t="s">
        <v>74</v>
      </c>
      <c r="O289" t="s">
        <v>77</v>
      </c>
    </row>
    <row r="290" spans="1:15" x14ac:dyDescent="0.25">
      <c r="A290">
        <v>18138</v>
      </c>
      <c r="B290" t="s">
        <v>22</v>
      </c>
      <c r="C290" t="s">
        <v>31</v>
      </c>
      <c r="D290" t="str">
        <f>IFERROR(INDEX(Sheet2!$B$2:$B$1132,MATCH(Sheet1!C290,Sheet1!$C$2:$C$1132,0)),"IDK")</f>
        <v>IT</v>
      </c>
      <c r="E290" t="s">
        <v>49</v>
      </c>
      <c r="F290" t="s">
        <v>54</v>
      </c>
      <c r="G290" s="1">
        <v>45478</v>
      </c>
      <c r="H290" t="s">
        <v>57</v>
      </c>
      <c r="I290" s="2" t="s">
        <v>151</v>
      </c>
      <c r="J290" s="2" t="s">
        <v>152</v>
      </c>
      <c r="K290">
        <f>IFERROR(INDEX(Sheet2!$C$2:$C$1132,MATCH(Sheet1!C290,Sheet1!$C$2:$C$1132,0)),"")</f>
        <v>25000</v>
      </c>
      <c r="L290">
        <f>IFERROR(INDEX(Sheet2!$D$2:$D$1132,MATCH(Sheet1!C290,$C$2:$C$1132,0)),"")</f>
        <v>75000</v>
      </c>
      <c r="M290" t="str">
        <f>IFERROR(INDEX($M$2:$M$1132,MATCH(B290,$B$2:$B$1132,0)),"")</f>
        <v>GOOGLE ANALYTICS, SEO, SOCIAL MEDIA ANALYTICS, EXCEL</v>
      </c>
      <c r="N290" t="s">
        <v>74</v>
      </c>
      <c r="O290" t="s">
        <v>79</v>
      </c>
    </row>
    <row r="291" spans="1:15" x14ac:dyDescent="0.25">
      <c r="A291">
        <v>18139</v>
      </c>
      <c r="B291" t="s">
        <v>22</v>
      </c>
      <c r="C291" t="s">
        <v>32</v>
      </c>
      <c r="D291" t="str">
        <f>IFERROR(INDEX(Sheet2!$B$2:$B$1132,MATCH(Sheet1!C291,Sheet1!$C$2:$C$1132,0)),"IDK")</f>
        <v>SOCIAL</v>
      </c>
      <c r="E291" t="s">
        <v>49</v>
      </c>
      <c r="F291" t="s">
        <v>54</v>
      </c>
      <c r="G291" s="1">
        <v>45298</v>
      </c>
      <c r="H291" t="s">
        <v>57</v>
      </c>
      <c r="I291" s="3" t="s">
        <v>149</v>
      </c>
      <c r="J291" s="2" t="s">
        <v>150</v>
      </c>
      <c r="K291">
        <f>IFERROR(INDEX(Sheet2!$C$2:$C$1132,MATCH(Sheet1!C291,Sheet1!$C$2:$C$1132,0)),"")</f>
        <v>20000</v>
      </c>
      <c r="L291">
        <f>IFERROR(INDEX(Sheet2!$D$2:$D$1132,MATCH(Sheet1!C291,$C$2:$C$1132,0)),"")</f>
        <v>70000</v>
      </c>
      <c r="M291" t="str">
        <f>IFERROR(INDEX($M$2:$M$1132,MATCH(B291,$B$2:$B$1132,0)),"")</f>
        <v>GOOGLE ANALYTICS, SEO, SOCIAL MEDIA ANALYTICS, EXCEL</v>
      </c>
      <c r="N291" t="s">
        <v>74</v>
      </c>
      <c r="O291" t="s">
        <v>37</v>
      </c>
    </row>
    <row r="292" spans="1:15" x14ac:dyDescent="0.25">
      <c r="A292">
        <v>18140</v>
      </c>
      <c r="B292" t="s">
        <v>22</v>
      </c>
      <c r="C292" t="s">
        <v>33</v>
      </c>
      <c r="D292" t="str">
        <f>IFERROR(INDEX(Sheet2!$B$2:$B$1132,MATCH(Sheet1!C292,Sheet1!$C$2:$C$1132,0)),"IDK")</f>
        <v>FINANCE</v>
      </c>
      <c r="E292" t="s">
        <v>49</v>
      </c>
      <c r="F292" t="s">
        <v>54</v>
      </c>
      <c r="G292" s="1">
        <v>45360</v>
      </c>
      <c r="H292" t="s">
        <v>57</v>
      </c>
      <c r="I292" s="2" t="s">
        <v>151</v>
      </c>
      <c r="J292" s="2" t="s">
        <v>152</v>
      </c>
      <c r="K292">
        <f>IFERROR(INDEX(Sheet2!$C$2:$C$1132,MATCH(Sheet1!C292,Sheet1!$C$2:$C$1132,0)),"")</f>
        <v>40000</v>
      </c>
      <c r="L292">
        <f>IFERROR(INDEX(Sheet2!$D$2:$D$1132,MATCH(Sheet1!C292,$C$2:$C$1132,0)),"")</f>
        <v>85000</v>
      </c>
      <c r="M292" t="str">
        <f>IFERROR(INDEX($M$2:$M$1132,MATCH(B292,$B$2:$B$1132,0)),"")</f>
        <v>GOOGLE ANALYTICS, SEO, SOCIAL MEDIA ANALYTICS, EXCEL</v>
      </c>
      <c r="N292" t="s">
        <v>74</v>
      </c>
      <c r="O292" t="s">
        <v>78</v>
      </c>
    </row>
    <row r="293" spans="1:15" x14ac:dyDescent="0.25">
      <c r="A293">
        <v>18141</v>
      </c>
      <c r="B293" t="s">
        <v>22</v>
      </c>
      <c r="C293" t="s">
        <v>34</v>
      </c>
      <c r="D293" t="str">
        <f>IFERROR(INDEX(Sheet2!$B$2:$B$1132,MATCH(Sheet1!C293,Sheet1!$C$2:$C$1132,0)),"IDK")</f>
        <v>IT</v>
      </c>
      <c r="E293" t="s">
        <v>49</v>
      </c>
      <c r="F293" t="s">
        <v>54</v>
      </c>
      <c r="G293" s="1">
        <v>45499</v>
      </c>
      <c r="H293" t="s">
        <v>57</v>
      </c>
      <c r="I293" s="2" t="s">
        <v>153</v>
      </c>
      <c r="J293" s="2" t="s">
        <v>154</v>
      </c>
      <c r="K293">
        <f>IFERROR(INDEX(Sheet2!$C$2:$C$1132,MATCH(Sheet1!C293,Sheet1!$C$2:$C$1132,0)),"")</f>
        <v>35000</v>
      </c>
      <c r="L293">
        <f>IFERROR(INDEX(Sheet2!$D$2:$D$1132,MATCH(Sheet1!C293,$C$2:$C$1132,0)),"")</f>
        <v>90000</v>
      </c>
      <c r="M293" t="str">
        <f>IFERROR(INDEX($M$2:$M$1132,MATCH(B293,$B$2:$B$1132,0)),"")</f>
        <v>GOOGLE ANALYTICS, SEO, SOCIAL MEDIA ANALYTICS, EXCEL</v>
      </c>
      <c r="N293" t="s">
        <v>74</v>
      </c>
      <c r="O293" t="s">
        <v>80</v>
      </c>
    </row>
    <row r="294" spans="1:15" x14ac:dyDescent="0.25">
      <c r="A294">
        <v>18142</v>
      </c>
      <c r="B294" t="s">
        <v>16</v>
      </c>
      <c r="C294" t="s">
        <v>35</v>
      </c>
      <c r="D294" t="str">
        <f>IFERROR(INDEX(Sheet2!$B$2:$B$1132,MATCH(Sheet1!C294,Sheet1!$C$2:$C$1132,0)),"IDK")</f>
        <v>SOCIAL</v>
      </c>
      <c r="E294" t="s">
        <v>49</v>
      </c>
      <c r="F294" t="s">
        <v>54</v>
      </c>
      <c r="G294" s="1">
        <v>45535</v>
      </c>
      <c r="H294" t="s">
        <v>57</v>
      </c>
      <c r="I294" s="3" t="s">
        <v>157</v>
      </c>
      <c r="J294" s="2" t="s">
        <v>158</v>
      </c>
      <c r="K294">
        <f>IFERROR(INDEX(Sheet2!$C$2:$C$1132,MATCH(Sheet1!C294,Sheet1!$C$2:$C$1132,0)),"")</f>
        <v>30000</v>
      </c>
      <c r="L294">
        <f>IFERROR(INDEX(Sheet2!$D$2:$D$1132,MATCH(Sheet1!C294,$C$2:$C$1132,0)),"")</f>
        <v>95000</v>
      </c>
      <c r="M294" t="str">
        <f>IFERROR(INDEX($M$2:$M$1132,MATCH(B294,$B$2:$B$1132,0)),"")</f>
        <v>PYTHON, MACHINE LEARNING,PANDAS, NUMPY</v>
      </c>
      <c r="N294" t="s">
        <v>74</v>
      </c>
      <c r="O294" t="s">
        <v>79</v>
      </c>
    </row>
    <row r="295" spans="1:15" x14ac:dyDescent="0.25">
      <c r="A295">
        <v>18143</v>
      </c>
      <c r="B295" t="s">
        <v>16</v>
      </c>
      <c r="C295" t="s">
        <v>36</v>
      </c>
      <c r="D295" t="str">
        <f>IFERROR(INDEX(Sheet2!$B$2:$B$1132,MATCH(Sheet1!C295,Sheet1!$C$2:$C$1132,0)),"IDK")</f>
        <v>IT</v>
      </c>
      <c r="E295" t="s">
        <v>49</v>
      </c>
      <c r="F295" t="s">
        <v>54</v>
      </c>
      <c r="G295" s="1">
        <v>45465</v>
      </c>
      <c r="H295" t="s">
        <v>57</v>
      </c>
      <c r="I295" s="3" t="s">
        <v>159</v>
      </c>
      <c r="J295" s="2" t="s">
        <v>160</v>
      </c>
      <c r="K295">
        <f>IFERROR(INDEX(Sheet2!$C$2:$C$1132,MATCH(Sheet1!C295,Sheet1!$C$2:$C$1132,0)),"")</f>
        <v>50000</v>
      </c>
      <c r="L295">
        <f>IFERROR(INDEX(Sheet2!$D$2:$D$1132,MATCH(Sheet1!C295,$C$2:$C$1132,0)),"")</f>
        <v>100000</v>
      </c>
      <c r="M295" t="str">
        <f>IFERROR(INDEX($M$2:$M$1132,MATCH(B295,$B$2:$B$1132,0)),"")</f>
        <v>PYTHON, MACHINE LEARNING,PANDAS, NUMPY</v>
      </c>
      <c r="N295" t="s">
        <v>74</v>
      </c>
      <c r="O295" t="s">
        <v>37</v>
      </c>
    </row>
    <row r="296" spans="1:15" x14ac:dyDescent="0.25">
      <c r="A296">
        <v>18144</v>
      </c>
      <c r="B296" t="s">
        <v>16</v>
      </c>
      <c r="C296" t="s">
        <v>27</v>
      </c>
      <c r="D296" t="str">
        <f>IFERROR(INDEX(Sheet2!$B$2:$B$1132,MATCH(Sheet1!C296,Sheet1!$C$2:$C$1132,0)),"IDK")</f>
        <v>IT</v>
      </c>
      <c r="E296" t="s">
        <v>49</v>
      </c>
      <c r="F296" t="s">
        <v>54</v>
      </c>
      <c r="G296" s="1">
        <v>45417</v>
      </c>
      <c r="H296" t="s">
        <v>57</v>
      </c>
      <c r="I296" s="2" t="s">
        <v>149</v>
      </c>
      <c r="J296" s="2" t="s">
        <v>150</v>
      </c>
      <c r="K296">
        <f>IFERROR(INDEX(Sheet2!$C$2:$C$1132,MATCH(Sheet1!C296,Sheet1!$C$2:$C$1132,0)),"")</f>
        <v>40000</v>
      </c>
      <c r="L296">
        <f>IFERROR(INDEX(Sheet2!$D$2:$D$1132,MATCH(Sheet1!C296,$C$2:$C$1132,0)),"")</f>
        <v>80000</v>
      </c>
      <c r="M296" t="str">
        <f>IFERROR(INDEX($M$2:$M$1132,MATCH(B296,$B$2:$B$1132,0)),"")</f>
        <v>PYTHON, MACHINE LEARNING,PANDAS, NUMPY</v>
      </c>
      <c r="N296" t="s">
        <v>74</v>
      </c>
      <c r="O296" t="s">
        <v>78</v>
      </c>
    </row>
    <row r="297" spans="1:15" x14ac:dyDescent="0.25">
      <c r="A297">
        <v>18145</v>
      </c>
      <c r="B297" t="s">
        <v>16</v>
      </c>
      <c r="C297" t="s">
        <v>28</v>
      </c>
      <c r="D297" t="str">
        <f>IFERROR(INDEX(Sheet2!$B$2:$B$1132,MATCH(Sheet1!C297,Sheet1!$C$2:$C$1132,0)),"IDK")</f>
        <v>IT</v>
      </c>
      <c r="E297" t="s">
        <v>49</v>
      </c>
      <c r="F297" t="s">
        <v>54</v>
      </c>
      <c r="G297" s="1">
        <v>45619</v>
      </c>
      <c r="H297" t="s">
        <v>57</v>
      </c>
      <c r="I297" s="2" t="s">
        <v>149</v>
      </c>
      <c r="J297" s="2" t="s">
        <v>150</v>
      </c>
      <c r="K297">
        <f>IFERROR(INDEX(Sheet2!$C$2:$C$1132,MATCH(Sheet1!C297,Sheet1!$C$2:$C$1132,0)),"")</f>
        <v>30000</v>
      </c>
      <c r="L297">
        <f>IFERROR(INDEX(Sheet2!$D$2:$D$1132,MATCH(Sheet1!C297,$C$2:$C$1132,0)),"")</f>
        <v>55000</v>
      </c>
      <c r="M297" t="str">
        <f>IFERROR(INDEX($M$2:$M$1132,MATCH(B297,$B$2:$B$1132,0)),"")</f>
        <v>PYTHON, MACHINE LEARNING,PANDAS, NUMPY</v>
      </c>
      <c r="N297" t="s">
        <v>74</v>
      </c>
      <c r="O297" t="s">
        <v>79</v>
      </c>
    </row>
    <row r="298" spans="1:15" x14ac:dyDescent="0.25">
      <c r="A298">
        <v>18146</v>
      </c>
      <c r="B298" t="s">
        <v>16</v>
      </c>
      <c r="C298" t="s">
        <v>29</v>
      </c>
      <c r="D298" t="str">
        <f>IFERROR(INDEX(Sheet2!$B$2:$B$1132,MATCH(Sheet1!C298,Sheet1!$C$2:$C$1132,0)),"IDK")</f>
        <v>IT</v>
      </c>
      <c r="E298" t="s">
        <v>49</v>
      </c>
      <c r="F298" t="s">
        <v>54</v>
      </c>
      <c r="G298" s="1">
        <v>45619</v>
      </c>
      <c r="H298" t="s">
        <v>57</v>
      </c>
      <c r="I298" s="2" t="s">
        <v>149</v>
      </c>
      <c r="J298" s="2" t="s">
        <v>150</v>
      </c>
      <c r="K298">
        <f>IFERROR(INDEX(Sheet2!$C$2:$C$1132,MATCH(Sheet1!C298,Sheet1!$C$2:$C$1132,0)),"")</f>
        <v>35000</v>
      </c>
      <c r="L298">
        <f>IFERROR(INDEX(Sheet2!$D$2:$D$1132,MATCH(Sheet1!C298,$C$2:$C$1132,0)),"")</f>
        <v>70000</v>
      </c>
      <c r="M298" t="str">
        <f>IFERROR(INDEX($M$2:$M$1132,MATCH(B298,$B$2:$B$1132,0)),"")</f>
        <v>PYTHON, MACHINE LEARNING,PANDAS, NUMPY</v>
      </c>
      <c r="N298" t="s">
        <v>74</v>
      </c>
      <c r="O298" t="s">
        <v>80</v>
      </c>
    </row>
    <row r="299" spans="1:15" x14ac:dyDescent="0.25">
      <c r="A299">
        <v>18147</v>
      </c>
      <c r="B299" t="s">
        <v>16</v>
      </c>
      <c r="C299" t="s">
        <v>23</v>
      </c>
      <c r="D299" t="str">
        <f>IFERROR(INDEX(Sheet2!$B$2:$B$1132,MATCH(Sheet1!C299,Sheet1!$C$2:$C$1132,0)),"IDK")</f>
        <v>IT</v>
      </c>
      <c r="E299" t="s">
        <v>49</v>
      </c>
      <c r="F299" t="s">
        <v>54</v>
      </c>
      <c r="G299" s="1">
        <v>45614</v>
      </c>
      <c r="H299" t="s">
        <v>57</v>
      </c>
      <c r="I299" s="2" t="s">
        <v>149</v>
      </c>
      <c r="J299" s="2" t="s">
        <v>150</v>
      </c>
      <c r="K299">
        <f>IFERROR(INDEX(Sheet2!$C$2:$C$1132,MATCH(Sheet1!C299,Sheet1!$C$2:$C$1132,0)),"")</f>
        <v>35000</v>
      </c>
      <c r="L299">
        <f>IFERROR(INDEX(Sheet2!$D$2:$D$1132,MATCH(Sheet1!C299,$C$2:$C$1132,0)),"")</f>
        <v>70000</v>
      </c>
      <c r="M299" t="str">
        <f>IFERROR(INDEX($M$2:$M$1132,MATCH(B299,$B$2:$B$1132,0)),"")</f>
        <v>PYTHON, MACHINE LEARNING,PANDAS, NUMPY</v>
      </c>
      <c r="N299" t="s">
        <v>74</v>
      </c>
      <c r="O299" t="s">
        <v>77</v>
      </c>
    </row>
    <row r="300" spans="1:15" x14ac:dyDescent="0.25">
      <c r="A300">
        <v>18148</v>
      </c>
      <c r="B300" t="s">
        <v>16</v>
      </c>
      <c r="C300" t="s">
        <v>30</v>
      </c>
      <c r="D300" t="str">
        <f>IFERROR(INDEX(Sheet2!$B$2:$B$1132,MATCH(Sheet1!C300,Sheet1!$C$2:$C$1132,0)),"IDK")</f>
        <v>IT</v>
      </c>
      <c r="E300" t="s">
        <v>49</v>
      </c>
      <c r="F300" t="s">
        <v>54</v>
      </c>
      <c r="G300" s="1">
        <v>45318</v>
      </c>
      <c r="H300" t="s">
        <v>57</v>
      </c>
      <c r="I300" s="2" t="s">
        <v>149</v>
      </c>
      <c r="J300" s="2" t="s">
        <v>150</v>
      </c>
      <c r="K300">
        <f>IFERROR(INDEX(Sheet2!$C$2:$C$1132,MATCH(Sheet1!C300,Sheet1!$C$2:$C$1132,0)),"")</f>
        <v>25000</v>
      </c>
      <c r="L300">
        <f>IFERROR(INDEX(Sheet2!$D$2:$D$1132,MATCH(Sheet1!C300,$C$2:$C$1132,0)),"")</f>
        <v>60000</v>
      </c>
      <c r="M300" t="str">
        <f>IFERROR(INDEX($M$2:$M$1132,MATCH(B300,$B$2:$B$1132,0)),"")</f>
        <v>PYTHON, MACHINE LEARNING,PANDAS, NUMPY</v>
      </c>
      <c r="N300" t="s">
        <v>74</v>
      </c>
      <c r="O300" t="s">
        <v>79</v>
      </c>
    </row>
    <row r="301" spans="1:15" x14ac:dyDescent="0.25">
      <c r="A301">
        <v>18149</v>
      </c>
      <c r="B301" t="s">
        <v>16</v>
      </c>
      <c r="C301" t="s">
        <v>31</v>
      </c>
      <c r="D301" t="str">
        <f>IFERROR(INDEX(Sheet2!$B$2:$B$1132,MATCH(Sheet1!C301,Sheet1!$C$2:$C$1132,0)),"IDK")</f>
        <v>IT</v>
      </c>
      <c r="E301" t="s">
        <v>49</v>
      </c>
      <c r="F301" t="s">
        <v>54</v>
      </c>
      <c r="G301" s="1">
        <v>45346</v>
      </c>
      <c r="H301" t="s">
        <v>57</v>
      </c>
      <c r="I301" s="2" t="s">
        <v>149</v>
      </c>
      <c r="J301" s="2" t="s">
        <v>150</v>
      </c>
      <c r="K301">
        <f>IFERROR(INDEX(Sheet2!$C$2:$C$1132,MATCH(Sheet1!C301,Sheet1!$C$2:$C$1132,0)),"")</f>
        <v>25000</v>
      </c>
      <c r="L301">
        <f>IFERROR(INDEX(Sheet2!$D$2:$D$1132,MATCH(Sheet1!C301,$C$2:$C$1132,0)),"")</f>
        <v>75000</v>
      </c>
      <c r="M301" t="str">
        <f>IFERROR(INDEX($M$2:$M$1132,MATCH(B301,$B$2:$B$1132,0)),"")</f>
        <v>PYTHON, MACHINE LEARNING,PANDAS, NUMPY</v>
      </c>
      <c r="N301" t="s">
        <v>74</v>
      </c>
      <c r="O301" t="s">
        <v>37</v>
      </c>
    </row>
    <row r="302" spans="1:15" x14ac:dyDescent="0.25">
      <c r="A302">
        <v>18150</v>
      </c>
      <c r="B302" t="s">
        <v>16</v>
      </c>
      <c r="C302" t="s">
        <v>32</v>
      </c>
      <c r="D302" t="str">
        <f>IFERROR(INDEX(Sheet2!$B$2:$B$1132,MATCH(Sheet1!C302,Sheet1!$C$2:$C$1132,0)),"IDK")</f>
        <v>SOCIAL</v>
      </c>
      <c r="E302" t="s">
        <v>49</v>
      </c>
      <c r="F302" t="s">
        <v>54</v>
      </c>
      <c r="G302" s="1">
        <v>45306</v>
      </c>
      <c r="H302" t="s">
        <v>57</v>
      </c>
      <c r="I302" s="2" t="s">
        <v>159</v>
      </c>
      <c r="J302" s="2" t="s">
        <v>160</v>
      </c>
      <c r="K302">
        <f>IFERROR(INDEX(Sheet2!$C$2:$C$1132,MATCH(Sheet1!C302,Sheet1!$C$2:$C$1132,0)),"")</f>
        <v>20000</v>
      </c>
      <c r="L302">
        <f>IFERROR(INDEX(Sheet2!$D$2:$D$1132,MATCH(Sheet1!C302,$C$2:$C$1132,0)),"")</f>
        <v>70000</v>
      </c>
      <c r="M302" t="str">
        <f>IFERROR(INDEX($M$2:$M$1132,MATCH(B302,$B$2:$B$1132,0)),"")</f>
        <v>PYTHON, MACHINE LEARNING,PANDAS, NUMPY</v>
      </c>
      <c r="N302" t="s">
        <v>74</v>
      </c>
      <c r="O302" t="s">
        <v>78</v>
      </c>
    </row>
    <row r="303" spans="1:15" x14ac:dyDescent="0.25">
      <c r="A303">
        <v>18151</v>
      </c>
      <c r="B303" t="s">
        <v>16</v>
      </c>
      <c r="C303" t="s">
        <v>33</v>
      </c>
      <c r="D303" t="str">
        <f>IFERROR(INDEX(Sheet2!$B$2:$B$1132,MATCH(Sheet1!C303,Sheet1!$C$2:$C$1132,0)),"IDK")</f>
        <v>FINANCE</v>
      </c>
      <c r="E303" t="s">
        <v>49</v>
      </c>
      <c r="F303" t="s">
        <v>54</v>
      </c>
      <c r="G303" s="1">
        <v>45541</v>
      </c>
      <c r="H303" t="s">
        <v>57</v>
      </c>
      <c r="I303" s="2" t="s">
        <v>159</v>
      </c>
      <c r="J303" s="2" t="s">
        <v>160</v>
      </c>
      <c r="K303">
        <f>IFERROR(INDEX(Sheet2!$C$2:$C$1132,MATCH(Sheet1!C303,Sheet1!$C$2:$C$1132,0)),"")</f>
        <v>40000</v>
      </c>
      <c r="L303">
        <f>IFERROR(INDEX(Sheet2!$D$2:$D$1132,MATCH(Sheet1!C303,$C$2:$C$1132,0)),"")</f>
        <v>85000</v>
      </c>
      <c r="M303" t="str">
        <f>IFERROR(INDEX($M$2:$M$1132,MATCH(B303,$B$2:$B$1132,0)),"")</f>
        <v>PYTHON, MACHINE LEARNING,PANDAS, NUMPY</v>
      </c>
      <c r="N303" t="s">
        <v>74</v>
      </c>
      <c r="O303" t="s">
        <v>80</v>
      </c>
    </row>
    <row r="304" spans="1:15" x14ac:dyDescent="0.25">
      <c r="A304">
        <v>18152</v>
      </c>
      <c r="B304" t="s">
        <v>16</v>
      </c>
      <c r="C304" t="s">
        <v>23</v>
      </c>
      <c r="D304" t="str">
        <f>IFERROR(INDEX(Sheet2!$B$2:$B$1132,MATCH(Sheet1!C304,Sheet1!$C$2:$C$1132,0)),"IDK")</f>
        <v>IT</v>
      </c>
      <c r="E304" t="s">
        <v>49</v>
      </c>
      <c r="F304" t="s">
        <v>54</v>
      </c>
      <c r="G304" s="1">
        <v>45335</v>
      </c>
      <c r="H304" t="s">
        <v>57</v>
      </c>
      <c r="I304" s="2" t="s">
        <v>159</v>
      </c>
      <c r="J304" s="2" t="s">
        <v>160</v>
      </c>
      <c r="K304">
        <f>IFERROR(INDEX(Sheet2!$C$2:$C$1132,MATCH(Sheet1!C304,Sheet1!$C$2:$C$1132,0)),"")</f>
        <v>35000</v>
      </c>
      <c r="L304">
        <f>IFERROR(INDEX(Sheet2!$D$2:$D$1132,MATCH(Sheet1!C304,$C$2:$C$1132,0)),"")</f>
        <v>70000</v>
      </c>
      <c r="M304" t="str">
        <f>IFERROR(INDEX($M$2:$M$1132,MATCH(B304,$B$2:$B$1132,0)),"")</f>
        <v>PYTHON, MACHINE LEARNING,PANDAS, NUMPY</v>
      </c>
      <c r="N304" t="s">
        <v>74</v>
      </c>
      <c r="O304" t="s">
        <v>79</v>
      </c>
    </row>
    <row r="305" spans="1:15" x14ac:dyDescent="0.25">
      <c r="A305">
        <v>18153</v>
      </c>
      <c r="B305" t="s">
        <v>16</v>
      </c>
      <c r="C305" t="s">
        <v>24</v>
      </c>
      <c r="D305" t="str">
        <f>IFERROR(INDEX(Sheet2!$B$2:$B$1132,MATCH(Sheet1!C305,Sheet1!$C$2:$C$1132,0)),"IDK")</f>
        <v>HEALTH</v>
      </c>
      <c r="E305" t="s">
        <v>49</v>
      </c>
      <c r="F305" t="s">
        <v>54</v>
      </c>
      <c r="G305" s="1">
        <v>45652</v>
      </c>
      <c r="H305" t="s">
        <v>57</v>
      </c>
      <c r="I305" s="2" t="s">
        <v>159</v>
      </c>
      <c r="J305" s="2" t="s">
        <v>160</v>
      </c>
      <c r="K305">
        <f>IFERROR(INDEX(Sheet2!$C$2:$C$1132,MATCH(Sheet1!C305,Sheet1!$C$2:$C$1132,0)),"")</f>
        <v>25000</v>
      </c>
      <c r="L305">
        <f>IFERROR(INDEX(Sheet2!$D$2:$D$1132,MATCH(Sheet1!C305,$C$2:$C$1132,0)),"")</f>
        <v>50000</v>
      </c>
      <c r="M305" t="str">
        <f>IFERROR(INDEX($M$2:$M$1132,MATCH(B305,$B$2:$B$1132,0)),"")</f>
        <v>PYTHON, MACHINE LEARNING,PANDAS, NUMPY</v>
      </c>
      <c r="N305" t="s">
        <v>74</v>
      </c>
      <c r="O305" t="s">
        <v>37</v>
      </c>
    </row>
    <row r="306" spans="1:15" x14ac:dyDescent="0.25">
      <c r="A306">
        <v>18154</v>
      </c>
      <c r="B306" t="s">
        <v>16</v>
      </c>
      <c r="C306" t="s">
        <v>25</v>
      </c>
      <c r="D306" t="str">
        <f>IFERROR(INDEX(Sheet2!$B$2:$B$1132,MATCH(Sheet1!C306,Sheet1!$C$2:$C$1132,0)),"IDK")</f>
        <v>SOCIAL</v>
      </c>
      <c r="E306" t="s">
        <v>49</v>
      </c>
      <c r="F306" t="s">
        <v>54</v>
      </c>
      <c r="G306" s="1">
        <v>45639</v>
      </c>
      <c r="H306" t="s">
        <v>57</v>
      </c>
      <c r="I306" s="2" t="s">
        <v>151</v>
      </c>
      <c r="J306" s="2" t="s">
        <v>152</v>
      </c>
      <c r="K306">
        <f>IFERROR(INDEX(Sheet2!$C$2:$C$1132,MATCH(Sheet1!C306,Sheet1!$C$2:$C$1132,0)),"")</f>
        <v>30000</v>
      </c>
      <c r="L306">
        <f>IFERROR(INDEX(Sheet2!$D$2:$D$1132,MATCH(Sheet1!C306,$C$2:$C$1132,0)),"")</f>
        <v>60000</v>
      </c>
      <c r="M306" t="str">
        <f>IFERROR(INDEX($M$2:$M$1132,MATCH(B306,$B$2:$B$1132,0)),"")</f>
        <v>PYTHON, MACHINE LEARNING,PANDAS, NUMPY</v>
      </c>
      <c r="N306" t="s">
        <v>74</v>
      </c>
      <c r="O306" t="s">
        <v>78</v>
      </c>
    </row>
    <row r="307" spans="1:15" x14ac:dyDescent="0.25">
      <c r="A307">
        <v>18155</v>
      </c>
      <c r="B307" t="s">
        <v>16</v>
      </c>
      <c r="C307" t="s">
        <v>26</v>
      </c>
      <c r="D307" t="str">
        <f>IFERROR(INDEX(Sheet2!$B$2:$B$1132,MATCH(Sheet1!C307,Sheet1!$C$2:$C$1132,0)),"IDK")</f>
        <v>FINANCE</v>
      </c>
      <c r="E307" t="s">
        <v>49</v>
      </c>
      <c r="F307" t="s">
        <v>54</v>
      </c>
      <c r="G307" s="1">
        <v>45470</v>
      </c>
      <c r="H307" t="s">
        <v>55</v>
      </c>
      <c r="I307" s="2" t="s">
        <v>82</v>
      </c>
      <c r="J307" s="2" t="s">
        <v>83</v>
      </c>
      <c r="K307">
        <f>IFERROR(INDEX(Sheet2!$C$2:$C$1132,MATCH(Sheet1!C307,Sheet1!$C$2:$C$1132,0)),"")</f>
        <v>35000</v>
      </c>
      <c r="L307">
        <f>IFERROR(INDEX(Sheet2!$D$2:$D$1132,MATCH(Sheet1!C307,$C$2:$C$1132,0)),"")</f>
        <v>75000</v>
      </c>
      <c r="M307" t="str">
        <f>IFERROR(INDEX($M$2:$M$1132,MATCH(B307,$B$2:$B$1132,0)),"")</f>
        <v>PYTHON, MACHINE LEARNING,PANDAS, NUMPY</v>
      </c>
      <c r="N307" t="s">
        <v>74</v>
      </c>
      <c r="O307" t="s">
        <v>79</v>
      </c>
    </row>
    <row r="308" spans="1:15" x14ac:dyDescent="0.25">
      <c r="A308">
        <v>18156</v>
      </c>
      <c r="B308" t="s">
        <v>16</v>
      </c>
      <c r="C308" t="s">
        <v>37</v>
      </c>
      <c r="D308" t="s">
        <v>43</v>
      </c>
      <c r="E308" t="s">
        <v>49</v>
      </c>
      <c r="F308" t="s">
        <v>54</v>
      </c>
      <c r="G308" s="1">
        <v>45522</v>
      </c>
      <c r="H308" t="s">
        <v>55</v>
      </c>
      <c r="I308" s="2" t="s">
        <v>82</v>
      </c>
      <c r="J308" s="2" t="s">
        <v>84</v>
      </c>
      <c r="K308">
        <v>45000</v>
      </c>
      <c r="L308">
        <v>90000</v>
      </c>
      <c r="M308" t="str">
        <f>IFERROR(INDEX($M$2:$M$1132,MATCH(B308,$B$2:$B$1132,0)),"")</f>
        <v>PYTHON, MACHINE LEARNING,PANDAS, NUMPY</v>
      </c>
      <c r="N308" t="s">
        <v>74</v>
      </c>
      <c r="O308" t="s">
        <v>80</v>
      </c>
    </row>
    <row r="309" spans="1:15" x14ac:dyDescent="0.25">
      <c r="A309">
        <v>18157</v>
      </c>
      <c r="B309" t="s">
        <v>16</v>
      </c>
      <c r="C309" t="s">
        <v>38</v>
      </c>
      <c r="D309" t="s">
        <v>42</v>
      </c>
      <c r="E309" t="s">
        <v>49</v>
      </c>
      <c r="F309" t="s">
        <v>54</v>
      </c>
      <c r="G309" s="1">
        <v>45321</v>
      </c>
      <c r="H309" t="s">
        <v>55</v>
      </c>
      <c r="I309" s="2" t="s">
        <v>82</v>
      </c>
      <c r="J309" s="2" t="s">
        <v>85</v>
      </c>
      <c r="K309">
        <v>20000</v>
      </c>
      <c r="L309">
        <v>80000</v>
      </c>
      <c r="M309" t="str">
        <f>IFERROR(INDEX($M$2:$M$1132,MATCH(B309,$B$2:$B$1132,0)),"")</f>
        <v>PYTHON, MACHINE LEARNING,PANDAS, NUMPY</v>
      </c>
      <c r="N309" t="s">
        <v>74</v>
      </c>
      <c r="O309" t="s">
        <v>77</v>
      </c>
    </row>
    <row r="310" spans="1:15" x14ac:dyDescent="0.25">
      <c r="A310">
        <v>18158</v>
      </c>
      <c r="B310" t="s">
        <v>16</v>
      </c>
      <c r="C310" t="s">
        <v>39</v>
      </c>
      <c r="D310" t="s">
        <v>42</v>
      </c>
      <c r="E310" t="s">
        <v>49</v>
      </c>
      <c r="F310" t="s">
        <v>54</v>
      </c>
      <c r="G310" s="1">
        <v>45570</v>
      </c>
      <c r="H310" t="s">
        <v>55</v>
      </c>
      <c r="I310" s="2" t="s">
        <v>86</v>
      </c>
      <c r="J310" s="2" t="s">
        <v>87</v>
      </c>
      <c r="K310">
        <v>25000</v>
      </c>
      <c r="L310">
        <v>85000</v>
      </c>
      <c r="M310" t="str">
        <f>IFERROR(INDEX($M$2:$M$1132,MATCH(B310,$B$2:$B$1132,0)),"")</f>
        <v>PYTHON, MACHINE LEARNING,PANDAS, NUMPY</v>
      </c>
      <c r="N310" t="s">
        <v>74</v>
      </c>
      <c r="O310" t="s">
        <v>79</v>
      </c>
    </row>
    <row r="311" spans="1:15" x14ac:dyDescent="0.25">
      <c r="A311">
        <v>18159</v>
      </c>
      <c r="B311" t="s">
        <v>16</v>
      </c>
      <c r="C311" t="s">
        <v>23</v>
      </c>
      <c r="D311" t="str">
        <f>IFERROR(INDEX(Sheet2!$B$2:$B$1132,MATCH(Sheet1!C311,Sheet1!$C$2:$C$1132,0)),"IDK")</f>
        <v>IT</v>
      </c>
      <c r="E311" t="s">
        <v>49</v>
      </c>
      <c r="F311" t="s">
        <v>54</v>
      </c>
      <c r="G311" s="1">
        <v>45320</v>
      </c>
      <c r="H311" t="s">
        <v>55</v>
      </c>
      <c r="I311" s="2" t="s">
        <v>88</v>
      </c>
      <c r="J311" s="2" t="s">
        <v>89</v>
      </c>
      <c r="K311">
        <f>IFERROR(INDEX(Sheet2!$C$2:$C$1132,MATCH(Sheet1!C311,Sheet1!$C$2:$C$1132,0)),"")</f>
        <v>35000</v>
      </c>
      <c r="L311">
        <f>IFERROR(INDEX(Sheet2!$D$2:$D$1132,MATCH(Sheet1!C311,$C$2:$C$1132,0)),"")</f>
        <v>70000</v>
      </c>
      <c r="M311" t="str">
        <f>IFERROR(INDEX($M$2:$M$1132,MATCH(B311,$B$2:$B$1132,0)),"")</f>
        <v>PYTHON, MACHINE LEARNING,PANDAS, NUMPY</v>
      </c>
      <c r="N311" t="s">
        <v>74</v>
      </c>
      <c r="O311" t="s">
        <v>37</v>
      </c>
    </row>
    <row r="312" spans="1:15" x14ac:dyDescent="0.25">
      <c r="A312">
        <v>18160</v>
      </c>
      <c r="B312" t="s">
        <v>16</v>
      </c>
      <c r="C312" t="s">
        <v>30</v>
      </c>
      <c r="D312" t="str">
        <f>IFERROR(INDEX(Sheet2!$B$2:$B$1132,MATCH(Sheet1!C312,Sheet1!$C$2:$C$1132,0)),"IDK")</f>
        <v>IT</v>
      </c>
      <c r="E312" t="s">
        <v>49</v>
      </c>
      <c r="F312" t="s">
        <v>54</v>
      </c>
      <c r="G312" s="1">
        <v>45317</v>
      </c>
      <c r="H312" t="s">
        <v>55</v>
      </c>
      <c r="I312" s="2" t="s">
        <v>88</v>
      </c>
      <c r="J312" s="2" t="s">
        <v>90</v>
      </c>
      <c r="K312">
        <f>IFERROR(INDEX(Sheet2!$C$2:$C$1132,MATCH(Sheet1!C312,Sheet1!$C$2:$C$1132,0)),"")</f>
        <v>25000</v>
      </c>
      <c r="L312">
        <f>IFERROR(INDEX(Sheet2!$D$2:$D$1132,MATCH(Sheet1!C312,$C$2:$C$1132,0)),"")</f>
        <v>60000</v>
      </c>
      <c r="M312" t="str">
        <f>IFERROR(INDEX($M$2:$M$1132,MATCH(B312,$B$2:$B$1132,0)),"")</f>
        <v>PYTHON, MACHINE LEARNING,PANDAS, NUMPY</v>
      </c>
      <c r="N312" t="s">
        <v>74</v>
      </c>
      <c r="O312" t="s">
        <v>78</v>
      </c>
    </row>
    <row r="313" spans="1:15" x14ac:dyDescent="0.25">
      <c r="A313">
        <v>18161</v>
      </c>
      <c r="B313" t="s">
        <v>16</v>
      </c>
      <c r="C313" t="s">
        <v>31</v>
      </c>
      <c r="D313" t="str">
        <f>IFERROR(INDEX(Sheet2!$B$2:$B$1132,MATCH(Sheet1!C313,Sheet1!$C$2:$C$1132,0)),"IDK")</f>
        <v>IT</v>
      </c>
      <c r="E313" t="s">
        <v>49</v>
      </c>
      <c r="F313" t="s">
        <v>54</v>
      </c>
      <c r="G313" s="1">
        <v>45419</v>
      </c>
      <c r="H313" t="s">
        <v>55</v>
      </c>
      <c r="I313" s="2" t="s">
        <v>88</v>
      </c>
      <c r="J313" s="2" t="s">
        <v>91</v>
      </c>
      <c r="K313">
        <f>IFERROR(INDEX(Sheet2!$C$2:$C$1132,MATCH(Sheet1!C313,Sheet1!$C$2:$C$1132,0)),"")</f>
        <v>25000</v>
      </c>
      <c r="L313">
        <f>IFERROR(INDEX(Sheet2!$D$2:$D$1132,MATCH(Sheet1!C313,$C$2:$C$1132,0)),"")</f>
        <v>75000</v>
      </c>
      <c r="M313" t="str">
        <f>IFERROR(INDEX($M$2:$M$1132,MATCH(B313,$B$2:$B$1132,0)),"")</f>
        <v>PYTHON, MACHINE LEARNING,PANDAS, NUMPY</v>
      </c>
      <c r="N313" t="s">
        <v>74</v>
      </c>
      <c r="O313" t="s">
        <v>78</v>
      </c>
    </row>
    <row r="314" spans="1:15" x14ac:dyDescent="0.25">
      <c r="A314">
        <v>18162</v>
      </c>
      <c r="B314" t="s">
        <v>16</v>
      </c>
      <c r="C314" t="s">
        <v>32</v>
      </c>
      <c r="D314" t="str">
        <f>IFERROR(INDEX(Sheet2!$B$2:$B$1132,MATCH(Sheet1!C314,Sheet1!$C$2:$C$1132,0)),"IDK")</f>
        <v>SOCIAL</v>
      </c>
      <c r="E314" t="s">
        <v>49</v>
      </c>
      <c r="F314" t="s">
        <v>54</v>
      </c>
      <c r="G314" s="1">
        <v>45562</v>
      </c>
      <c r="H314" t="s">
        <v>55</v>
      </c>
      <c r="I314" s="2" t="s">
        <v>92</v>
      </c>
      <c r="J314" s="2" t="s">
        <v>93</v>
      </c>
      <c r="K314">
        <f>IFERROR(INDEX(Sheet2!$C$2:$C$1132,MATCH(Sheet1!C314,Sheet1!$C$2:$C$1132,0)),"")</f>
        <v>20000</v>
      </c>
      <c r="L314">
        <f>IFERROR(INDEX(Sheet2!$D$2:$D$1132,MATCH(Sheet1!C314,$C$2:$C$1132,0)),"")</f>
        <v>70000</v>
      </c>
      <c r="M314" t="str">
        <f>IFERROR(INDEX($M$2:$M$1132,MATCH(B314,$B$2:$B$1132,0)),"")</f>
        <v>PYTHON, MACHINE LEARNING,PANDAS, NUMPY</v>
      </c>
      <c r="N314" t="s">
        <v>74</v>
      </c>
      <c r="O314" t="s">
        <v>79</v>
      </c>
    </row>
    <row r="315" spans="1:15" x14ac:dyDescent="0.25">
      <c r="A315">
        <v>18163</v>
      </c>
      <c r="B315" t="s">
        <v>16</v>
      </c>
      <c r="C315" t="s">
        <v>33</v>
      </c>
      <c r="D315" t="str">
        <f>IFERROR(INDEX(Sheet2!$B$2:$B$1132,MATCH(Sheet1!C315,Sheet1!$C$2:$C$1132,0)),"IDK")</f>
        <v>FINANCE</v>
      </c>
      <c r="E315" t="s">
        <v>49</v>
      </c>
      <c r="F315" t="s">
        <v>54</v>
      </c>
      <c r="G315" s="1">
        <v>45384</v>
      </c>
      <c r="H315" t="s">
        <v>55</v>
      </c>
      <c r="I315" s="2" t="s">
        <v>94</v>
      </c>
      <c r="J315" s="2" t="s">
        <v>95</v>
      </c>
      <c r="K315">
        <f>IFERROR(INDEX(Sheet2!$C$2:$C$1132,MATCH(Sheet1!C315,Sheet1!$C$2:$C$1132,0)),"")</f>
        <v>40000</v>
      </c>
      <c r="L315">
        <f>IFERROR(INDEX(Sheet2!$D$2:$D$1132,MATCH(Sheet1!C315,$C$2:$C$1132,0)),"")</f>
        <v>85000</v>
      </c>
      <c r="M315" t="str">
        <f>IFERROR(INDEX($M$2:$M$1132,MATCH(B315,$B$2:$B$1132,0)),"")</f>
        <v>PYTHON, MACHINE LEARNING,PANDAS, NUMPY</v>
      </c>
      <c r="N315" t="s">
        <v>74</v>
      </c>
      <c r="O315" t="s">
        <v>80</v>
      </c>
    </row>
    <row r="316" spans="1:15" x14ac:dyDescent="0.25">
      <c r="A316">
        <v>18164</v>
      </c>
      <c r="B316" t="s">
        <v>16</v>
      </c>
      <c r="C316" t="s">
        <v>23</v>
      </c>
      <c r="D316" t="str">
        <f>IFERROR(INDEX(Sheet2!$B$2:$B$1132,MATCH(Sheet1!C316,Sheet1!$C$2:$C$1132,0)),"IDK")</f>
        <v>IT</v>
      </c>
      <c r="E316" t="s">
        <v>49</v>
      </c>
      <c r="F316" t="s">
        <v>54</v>
      </c>
      <c r="G316" s="1">
        <v>45570</v>
      </c>
      <c r="H316" t="s">
        <v>55</v>
      </c>
      <c r="I316" s="2" t="s">
        <v>96</v>
      </c>
      <c r="J316" s="2" t="s">
        <v>97</v>
      </c>
      <c r="K316">
        <f>IFERROR(INDEX(Sheet2!$C$2:$C$1132,MATCH(Sheet1!C316,Sheet1!$C$2:$C$1132,0)),"")</f>
        <v>35000</v>
      </c>
      <c r="L316">
        <f>IFERROR(INDEX(Sheet2!$D$2:$D$1132,MATCH(Sheet1!C316,$C$2:$C$1132,0)),"")</f>
        <v>70000</v>
      </c>
      <c r="M316" t="str">
        <f>IFERROR(INDEX($M$2:$M$1132,MATCH(B316,$B$2:$B$1132,0)),"")</f>
        <v>PYTHON, MACHINE LEARNING,PANDAS, NUMPY</v>
      </c>
      <c r="N316" t="s">
        <v>74</v>
      </c>
      <c r="O316" t="s">
        <v>77</v>
      </c>
    </row>
    <row r="317" spans="1:15" x14ac:dyDescent="0.25">
      <c r="A317">
        <v>18165</v>
      </c>
      <c r="B317" t="s">
        <v>16</v>
      </c>
      <c r="C317" t="s">
        <v>24</v>
      </c>
      <c r="D317" t="str">
        <f>IFERROR(INDEX(Sheet2!$B$2:$B$1132,MATCH(Sheet1!C317,Sheet1!$C$2:$C$1132,0)),"IDK")</f>
        <v>HEALTH</v>
      </c>
      <c r="E317" t="s">
        <v>49</v>
      </c>
      <c r="F317" t="s">
        <v>54</v>
      </c>
      <c r="G317" s="1">
        <v>45465</v>
      </c>
      <c r="H317" t="s">
        <v>55</v>
      </c>
      <c r="I317" s="2" t="s">
        <v>98</v>
      </c>
      <c r="J317" s="2" t="s">
        <v>99</v>
      </c>
      <c r="K317">
        <f>IFERROR(INDEX(Sheet2!$C$2:$C$1132,MATCH(Sheet1!C317,Sheet1!$C$2:$C$1132,0)),"")</f>
        <v>25000</v>
      </c>
      <c r="L317">
        <f>IFERROR(INDEX(Sheet2!$D$2:$D$1132,MATCH(Sheet1!C317,$C$2:$C$1132,0)),"")</f>
        <v>50000</v>
      </c>
      <c r="M317" t="str">
        <f>IFERROR(INDEX($M$2:$M$1132,MATCH(B317,$B$2:$B$1132,0)),"")</f>
        <v>PYTHON, MACHINE LEARNING,PANDAS, NUMPY</v>
      </c>
      <c r="N317" t="s">
        <v>74</v>
      </c>
      <c r="O317" t="s">
        <v>79</v>
      </c>
    </row>
    <row r="318" spans="1:15" x14ac:dyDescent="0.25">
      <c r="A318">
        <v>18166</v>
      </c>
      <c r="B318" t="s">
        <v>16</v>
      </c>
      <c r="C318" t="s">
        <v>25</v>
      </c>
      <c r="D318" t="str">
        <f>IFERROR(INDEX(Sheet2!$B$2:$B$1132,MATCH(Sheet1!C318,Sheet1!$C$2:$C$1132,0)),"IDK")</f>
        <v>SOCIAL</v>
      </c>
      <c r="E318" t="s">
        <v>49</v>
      </c>
      <c r="F318" t="s">
        <v>54</v>
      </c>
      <c r="G318" s="1">
        <v>45329</v>
      </c>
      <c r="H318" t="s">
        <v>55</v>
      </c>
      <c r="I318" s="2" t="s">
        <v>100</v>
      </c>
      <c r="J318" s="2" t="s">
        <v>101</v>
      </c>
      <c r="K318">
        <f>IFERROR(INDEX(Sheet2!$C$2:$C$1132,MATCH(Sheet1!C318,Sheet1!$C$2:$C$1132,0)),"")</f>
        <v>30000</v>
      </c>
      <c r="L318">
        <f>IFERROR(INDEX(Sheet2!$D$2:$D$1132,MATCH(Sheet1!C318,$C$2:$C$1132,0)),"")</f>
        <v>60000</v>
      </c>
      <c r="M318" t="str">
        <f>IFERROR(INDEX($M$2:$M$1132,MATCH(B318,$B$2:$B$1132,0)),"")</f>
        <v>PYTHON, MACHINE LEARNING,PANDAS, NUMPY</v>
      </c>
      <c r="N318" t="s">
        <v>74</v>
      </c>
      <c r="O318" t="s">
        <v>37</v>
      </c>
    </row>
    <row r="319" spans="1:15" x14ac:dyDescent="0.25">
      <c r="A319">
        <v>18167</v>
      </c>
      <c r="B319" t="s">
        <v>16</v>
      </c>
      <c r="C319" t="s">
        <v>26</v>
      </c>
      <c r="D319" t="str">
        <f>IFERROR(INDEX(Sheet2!$B$2:$B$1132,MATCH(Sheet1!C319,Sheet1!$C$2:$C$1132,0)),"IDK")</f>
        <v>FINANCE</v>
      </c>
      <c r="E319" t="s">
        <v>49</v>
      </c>
      <c r="F319" t="s">
        <v>54</v>
      </c>
      <c r="G319" s="1">
        <v>45397</v>
      </c>
      <c r="H319" t="s">
        <v>55</v>
      </c>
      <c r="I319" s="2" t="s">
        <v>102</v>
      </c>
      <c r="J319" s="2" t="s">
        <v>103</v>
      </c>
      <c r="K319">
        <f>IFERROR(INDEX(Sheet2!$C$2:$C$1132,MATCH(Sheet1!C319,Sheet1!$C$2:$C$1132,0)),"")</f>
        <v>35000</v>
      </c>
      <c r="L319">
        <f>IFERROR(INDEX(Sheet2!$D$2:$D$1132,MATCH(Sheet1!C319,$C$2:$C$1132,0)),"")</f>
        <v>75000</v>
      </c>
      <c r="M319" t="str">
        <f>IFERROR(INDEX($M$2:$M$1132,MATCH(B319,$B$2:$B$1132,0)),"")</f>
        <v>PYTHON, MACHINE LEARNING,PANDAS, NUMPY</v>
      </c>
      <c r="N319" t="s">
        <v>74</v>
      </c>
      <c r="O319" t="s">
        <v>78</v>
      </c>
    </row>
    <row r="320" spans="1:15" x14ac:dyDescent="0.25">
      <c r="A320">
        <v>18168</v>
      </c>
      <c r="B320" t="s">
        <v>16</v>
      </c>
      <c r="C320" t="s">
        <v>27</v>
      </c>
      <c r="D320" t="str">
        <f>IFERROR(INDEX(Sheet2!$B$2:$B$1132,MATCH(Sheet1!C320,Sheet1!$C$2:$C$1132,0)),"IDK")</f>
        <v>IT</v>
      </c>
      <c r="E320" t="s">
        <v>49</v>
      </c>
      <c r="F320" t="s">
        <v>54</v>
      </c>
      <c r="G320" s="1">
        <v>45631</v>
      </c>
      <c r="H320" t="s">
        <v>55</v>
      </c>
      <c r="I320" s="2" t="s">
        <v>104</v>
      </c>
      <c r="J320" s="2" t="s">
        <v>105</v>
      </c>
      <c r="K320">
        <f>IFERROR(INDEX(Sheet2!$C$2:$C$1132,MATCH(Sheet1!C320,Sheet1!$C$2:$C$1132,0)),"")</f>
        <v>40000</v>
      </c>
      <c r="L320">
        <f>IFERROR(INDEX(Sheet2!$D$2:$D$1132,MATCH(Sheet1!C320,$C$2:$C$1132,0)),"")</f>
        <v>80000</v>
      </c>
      <c r="M320" t="str">
        <f>IFERROR(INDEX($M$2:$M$1132,MATCH(B320,$B$2:$B$1132,0)),"")</f>
        <v>PYTHON, MACHINE LEARNING,PANDAS, NUMPY</v>
      </c>
      <c r="N320" t="s">
        <v>74</v>
      </c>
      <c r="O320" t="s">
        <v>80</v>
      </c>
    </row>
    <row r="321" spans="1:15" x14ac:dyDescent="0.25">
      <c r="A321">
        <v>18169</v>
      </c>
      <c r="B321" t="s">
        <v>16</v>
      </c>
      <c r="C321" t="s">
        <v>28</v>
      </c>
      <c r="D321" t="str">
        <f>IFERROR(INDEX(Sheet2!$B$2:$B$1132,MATCH(Sheet1!C321,Sheet1!$C$2:$C$1132,0)),"IDK")</f>
        <v>IT</v>
      </c>
      <c r="E321" t="s">
        <v>49</v>
      </c>
      <c r="F321" t="s">
        <v>54</v>
      </c>
      <c r="G321" s="1">
        <v>45611</v>
      </c>
      <c r="H321" t="s">
        <v>55</v>
      </c>
      <c r="I321" s="2" t="s">
        <v>88</v>
      </c>
      <c r="J321" s="2" t="s">
        <v>90</v>
      </c>
      <c r="K321">
        <f>IFERROR(INDEX(Sheet2!$C$2:$C$1132,MATCH(Sheet1!C321,Sheet1!$C$2:$C$1132,0)),"")</f>
        <v>30000</v>
      </c>
      <c r="L321">
        <f>IFERROR(INDEX(Sheet2!$D$2:$D$1132,MATCH(Sheet1!C321,$C$2:$C$1132,0)),"")</f>
        <v>55000</v>
      </c>
      <c r="M321" t="str">
        <f>IFERROR(INDEX($M$2:$M$1132,MATCH(B321,$B$2:$B$1132,0)),"")</f>
        <v>PYTHON, MACHINE LEARNING,PANDAS, NUMPY</v>
      </c>
      <c r="N321" t="s">
        <v>74</v>
      </c>
      <c r="O321" t="s">
        <v>79</v>
      </c>
    </row>
    <row r="322" spans="1:15" x14ac:dyDescent="0.25">
      <c r="A322">
        <v>18170</v>
      </c>
      <c r="B322" t="s">
        <v>16</v>
      </c>
      <c r="C322" t="s">
        <v>29</v>
      </c>
      <c r="D322" t="str">
        <f>IFERROR(INDEX(Sheet2!$B$2:$B$1132,MATCH(Sheet1!C322,Sheet1!$C$2:$C$1132,0)),"IDK")</f>
        <v>IT</v>
      </c>
      <c r="E322" t="s">
        <v>49</v>
      </c>
      <c r="F322" t="s">
        <v>54</v>
      </c>
      <c r="G322" s="1">
        <v>45425</v>
      </c>
      <c r="H322" t="s">
        <v>55</v>
      </c>
      <c r="I322" s="2" t="s">
        <v>86</v>
      </c>
      <c r="J322" s="2" t="s">
        <v>87</v>
      </c>
      <c r="K322">
        <f>IFERROR(INDEX(Sheet2!$C$2:$C$1132,MATCH(Sheet1!C322,Sheet1!$C$2:$C$1132,0)),"")</f>
        <v>35000</v>
      </c>
      <c r="L322">
        <f>IFERROR(INDEX(Sheet2!$D$2:$D$1132,MATCH(Sheet1!C322,$C$2:$C$1132,0)),"")</f>
        <v>70000</v>
      </c>
      <c r="M322" t="str">
        <f>IFERROR(INDEX($M$2:$M$1132,MATCH(B322,$B$2:$B$1132,0)),"")</f>
        <v>PYTHON, MACHINE LEARNING,PANDAS, NUMPY</v>
      </c>
      <c r="N322" t="s">
        <v>74</v>
      </c>
      <c r="O322" t="s">
        <v>37</v>
      </c>
    </row>
    <row r="323" spans="1:15" x14ac:dyDescent="0.25">
      <c r="A323">
        <v>18171</v>
      </c>
      <c r="B323" t="s">
        <v>16</v>
      </c>
      <c r="C323" t="s">
        <v>23</v>
      </c>
      <c r="D323" t="str">
        <f>IFERROR(INDEX(Sheet2!$B$2:$B$1132,MATCH(Sheet1!C323,Sheet1!$C$2:$C$1132,0)),"IDK")</f>
        <v>IT</v>
      </c>
      <c r="E323" t="s">
        <v>49</v>
      </c>
      <c r="F323" t="s">
        <v>54</v>
      </c>
      <c r="G323" s="1">
        <v>45578</v>
      </c>
      <c r="H323" t="s">
        <v>55</v>
      </c>
      <c r="I323" s="2" t="s">
        <v>92</v>
      </c>
      <c r="J323" s="2" t="s">
        <v>93</v>
      </c>
      <c r="K323">
        <f>IFERROR(INDEX(Sheet2!$C$2:$C$1132,MATCH(Sheet1!C323,Sheet1!$C$2:$C$1132,0)),"")</f>
        <v>35000</v>
      </c>
      <c r="L323">
        <f>IFERROR(INDEX(Sheet2!$D$2:$D$1132,MATCH(Sheet1!C323,$C$2:$C$1132,0)),"")</f>
        <v>70000</v>
      </c>
      <c r="M323" t="str">
        <f>IFERROR(INDEX($M$2:$M$1132,MATCH(B323,$B$2:$B$1132,0)),"")</f>
        <v>PYTHON, MACHINE LEARNING,PANDAS, NUMPY</v>
      </c>
      <c r="N323" t="s">
        <v>74</v>
      </c>
      <c r="O323" t="s">
        <v>78</v>
      </c>
    </row>
    <row r="324" spans="1:15" x14ac:dyDescent="0.25">
      <c r="A324">
        <v>18172</v>
      </c>
      <c r="B324" t="s">
        <v>18</v>
      </c>
      <c r="C324" t="s">
        <v>30</v>
      </c>
      <c r="D324" t="str">
        <f>IFERROR(INDEX(Sheet2!$B$2:$B$1132,MATCH(Sheet1!C324,Sheet1!$C$2:$C$1132,0)),"IDK")</f>
        <v>IT</v>
      </c>
      <c r="E324" t="s">
        <v>49</v>
      </c>
      <c r="F324" t="s">
        <v>54</v>
      </c>
      <c r="G324" s="1">
        <v>45646</v>
      </c>
      <c r="H324" t="s">
        <v>55</v>
      </c>
      <c r="I324" s="2" t="s">
        <v>96</v>
      </c>
      <c r="J324" s="2" t="s">
        <v>97</v>
      </c>
      <c r="K324">
        <f>IFERROR(INDEX(Sheet2!$C$2:$C$1132,MATCH(Sheet1!C324,Sheet1!$C$2:$C$1132,0)),"")</f>
        <v>25000</v>
      </c>
      <c r="L324">
        <f>IFERROR(INDEX(Sheet2!$D$2:$D$1132,MATCH(Sheet1!C324,$C$2:$C$1132,0)),"")</f>
        <v>60000</v>
      </c>
      <c r="M324" t="str">
        <f>IFERROR(INDEX($M$2:$M$1132,MATCH(B324,$B$2:$B$1132,0)),"")</f>
        <v>EXCEL, SQL, FINANCIAL MODELLING, BUDGETING</v>
      </c>
      <c r="N324" t="s">
        <v>74</v>
      </c>
      <c r="O324" t="s">
        <v>79</v>
      </c>
    </row>
    <row r="325" spans="1:15" x14ac:dyDescent="0.25">
      <c r="A325">
        <v>18173</v>
      </c>
      <c r="B325" t="s">
        <v>18</v>
      </c>
      <c r="C325" t="s">
        <v>31</v>
      </c>
      <c r="D325" t="str">
        <f>IFERROR(INDEX(Sheet2!$B$2:$B$1132,MATCH(Sheet1!C325,Sheet1!$C$2:$C$1132,0)),"IDK")</f>
        <v>IT</v>
      </c>
      <c r="E325" t="s">
        <v>49</v>
      </c>
      <c r="F325" t="s">
        <v>54</v>
      </c>
      <c r="G325" s="1">
        <v>45538</v>
      </c>
      <c r="H325" t="s">
        <v>55</v>
      </c>
      <c r="I325" s="2" t="s">
        <v>98</v>
      </c>
      <c r="J325" s="2" t="s">
        <v>99</v>
      </c>
      <c r="K325">
        <f>IFERROR(INDEX(Sheet2!$C$2:$C$1132,MATCH(Sheet1!C325,Sheet1!$C$2:$C$1132,0)),"")</f>
        <v>25000</v>
      </c>
      <c r="L325">
        <f>IFERROR(INDEX(Sheet2!$D$2:$D$1132,MATCH(Sheet1!C325,$C$2:$C$1132,0)),"")</f>
        <v>75000</v>
      </c>
      <c r="M325" t="str">
        <f>IFERROR(INDEX($M$2:$M$1132,MATCH(B325,$B$2:$B$1132,0)),"")</f>
        <v>EXCEL, SQL, FINANCIAL MODELLING, BUDGETING</v>
      </c>
      <c r="N325" t="s">
        <v>74</v>
      </c>
      <c r="O325" t="s">
        <v>80</v>
      </c>
    </row>
    <row r="326" spans="1:15" x14ac:dyDescent="0.25">
      <c r="A326">
        <v>18174</v>
      </c>
      <c r="B326" t="s">
        <v>18</v>
      </c>
      <c r="C326" t="s">
        <v>32</v>
      </c>
      <c r="D326" t="str">
        <f>IFERROR(INDEX(Sheet2!$B$2:$B$1132,MATCH(Sheet1!C326,Sheet1!$C$2:$C$1132,0)),"IDK")</f>
        <v>SOCIAL</v>
      </c>
      <c r="E326" t="s">
        <v>49</v>
      </c>
      <c r="F326" t="s">
        <v>54</v>
      </c>
      <c r="G326" s="1">
        <v>45488</v>
      </c>
      <c r="H326" t="s">
        <v>55</v>
      </c>
      <c r="I326" s="2" t="s">
        <v>82</v>
      </c>
      <c r="J326" s="2" t="s">
        <v>83</v>
      </c>
      <c r="K326">
        <f>IFERROR(INDEX(Sheet2!$C$2:$C$1132,MATCH(Sheet1!C326,Sheet1!$C$2:$C$1132,0)),"")</f>
        <v>20000</v>
      </c>
      <c r="L326">
        <f>IFERROR(INDEX(Sheet2!$D$2:$D$1132,MATCH(Sheet1!C326,$C$2:$C$1132,0)),"")</f>
        <v>70000</v>
      </c>
      <c r="M326" t="str">
        <f>IFERROR(INDEX($M$2:$M$1132,MATCH(B326,$B$2:$B$1132,0)),"")</f>
        <v>EXCEL, SQL, FINANCIAL MODELLING, BUDGETING</v>
      </c>
      <c r="N326" t="s">
        <v>74</v>
      </c>
      <c r="O326" t="s">
        <v>77</v>
      </c>
    </row>
    <row r="327" spans="1:15" x14ac:dyDescent="0.25">
      <c r="A327">
        <v>18175</v>
      </c>
      <c r="B327" t="s">
        <v>18</v>
      </c>
      <c r="C327" t="s">
        <v>33</v>
      </c>
      <c r="D327" t="str">
        <f>IFERROR(INDEX(Sheet2!$B$2:$B$1132,MATCH(Sheet1!C327,Sheet1!$C$2:$C$1132,0)),"IDK")</f>
        <v>FINANCE</v>
      </c>
      <c r="E327" t="s">
        <v>49</v>
      </c>
      <c r="F327" t="s">
        <v>54</v>
      </c>
      <c r="G327" s="1">
        <v>45419</v>
      </c>
      <c r="H327" t="s">
        <v>55</v>
      </c>
      <c r="I327" s="2" t="s">
        <v>82</v>
      </c>
      <c r="J327" s="2" t="s">
        <v>84</v>
      </c>
      <c r="K327">
        <f>IFERROR(INDEX(Sheet2!$C$2:$C$1132,MATCH(Sheet1!C327,Sheet1!$C$2:$C$1132,0)),"")</f>
        <v>40000</v>
      </c>
      <c r="L327">
        <f>IFERROR(INDEX(Sheet2!$D$2:$D$1132,MATCH(Sheet1!C327,$C$2:$C$1132,0)),"")</f>
        <v>85000</v>
      </c>
      <c r="M327" t="str">
        <f>IFERROR(INDEX($M$2:$M$1132,MATCH(B327,$B$2:$B$1132,0)),"")</f>
        <v>EXCEL, SQL, FINANCIAL MODELLING, BUDGETING</v>
      </c>
      <c r="N327" t="s">
        <v>74</v>
      </c>
      <c r="O327" t="s">
        <v>79</v>
      </c>
    </row>
    <row r="328" spans="1:15" x14ac:dyDescent="0.25">
      <c r="A328">
        <v>18176</v>
      </c>
      <c r="B328" t="s">
        <v>18</v>
      </c>
      <c r="C328" t="s">
        <v>24</v>
      </c>
      <c r="D328" t="str">
        <f>IFERROR(INDEX(Sheet2!$B$2:$B$1132,MATCH(Sheet1!C328,Sheet1!$C$2:$C$1132,0)),"IDK")</f>
        <v>HEALTH</v>
      </c>
      <c r="E328" t="s">
        <v>49</v>
      </c>
      <c r="F328" t="s">
        <v>54</v>
      </c>
      <c r="G328" s="1">
        <v>45354</v>
      </c>
      <c r="H328" t="s">
        <v>55</v>
      </c>
      <c r="I328" s="2" t="s">
        <v>82</v>
      </c>
      <c r="J328" s="2" t="s">
        <v>85</v>
      </c>
      <c r="K328">
        <f>IFERROR(INDEX(Sheet2!$C$2:$C$1132,MATCH(Sheet1!C328,Sheet1!$C$2:$C$1132,0)),"")</f>
        <v>25000</v>
      </c>
      <c r="L328">
        <f>IFERROR(INDEX(Sheet2!$D$2:$D$1132,MATCH(Sheet1!C328,$C$2:$C$1132,0)),"")</f>
        <v>50000</v>
      </c>
      <c r="M328" t="str">
        <f>IFERROR(INDEX($M$2:$M$1132,MATCH(B328,$B$2:$B$1132,0)),"")</f>
        <v>EXCEL, SQL, FINANCIAL MODELLING, BUDGETING</v>
      </c>
      <c r="N328" t="s">
        <v>74</v>
      </c>
      <c r="O328" t="s">
        <v>37</v>
      </c>
    </row>
    <row r="329" spans="1:15" x14ac:dyDescent="0.25">
      <c r="A329">
        <v>18177</v>
      </c>
      <c r="B329" t="s">
        <v>18</v>
      </c>
      <c r="C329" t="s">
        <v>25</v>
      </c>
      <c r="D329" t="str">
        <f>IFERROR(INDEX(Sheet2!$B$2:$B$1132,MATCH(Sheet1!C329,Sheet1!$C$2:$C$1132,0)),"IDK")</f>
        <v>SOCIAL</v>
      </c>
      <c r="E329" t="s">
        <v>49</v>
      </c>
      <c r="F329" t="s">
        <v>54</v>
      </c>
      <c r="G329" s="1">
        <v>45302</v>
      </c>
      <c r="H329" t="s">
        <v>55</v>
      </c>
      <c r="I329" s="2" t="s">
        <v>88</v>
      </c>
      <c r="J329" s="2" t="s">
        <v>89</v>
      </c>
      <c r="K329">
        <f>IFERROR(INDEX(Sheet2!$C$2:$C$1132,MATCH(Sheet1!C329,Sheet1!$C$2:$C$1132,0)),"")</f>
        <v>30000</v>
      </c>
      <c r="L329">
        <f>IFERROR(INDEX(Sheet2!$D$2:$D$1132,MATCH(Sheet1!C329,$C$2:$C$1132,0)),"")</f>
        <v>60000</v>
      </c>
      <c r="M329" t="str">
        <f>IFERROR(INDEX($M$2:$M$1132,MATCH(B329,$B$2:$B$1132,0)),"")</f>
        <v>EXCEL, SQL, FINANCIAL MODELLING, BUDGETING</v>
      </c>
      <c r="N329" t="s">
        <v>74</v>
      </c>
      <c r="O329" t="s">
        <v>78</v>
      </c>
    </row>
    <row r="330" spans="1:15" x14ac:dyDescent="0.25">
      <c r="A330">
        <v>18178</v>
      </c>
      <c r="B330" t="s">
        <v>18</v>
      </c>
      <c r="C330" t="s">
        <v>26</v>
      </c>
      <c r="D330" t="str">
        <f>IFERROR(INDEX(Sheet2!$B$2:$B$1132,MATCH(Sheet1!C330,Sheet1!$C$2:$C$1132,0)),"IDK")</f>
        <v>FINANCE</v>
      </c>
      <c r="E330" t="s">
        <v>49</v>
      </c>
      <c r="F330" t="s">
        <v>54</v>
      </c>
      <c r="G330" s="1">
        <v>45405</v>
      </c>
      <c r="H330" t="s">
        <v>55</v>
      </c>
      <c r="I330" s="2" t="s">
        <v>88</v>
      </c>
      <c r="J330" s="2" t="s">
        <v>90</v>
      </c>
      <c r="K330">
        <f>IFERROR(INDEX(Sheet2!$C$2:$C$1132,MATCH(Sheet1!C330,Sheet1!$C$2:$C$1132,0)),"")</f>
        <v>35000</v>
      </c>
      <c r="L330">
        <f>IFERROR(INDEX(Sheet2!$D$2:$D$1132,MATCH(Sheet1!C330,$C$2:$C$1132,0)),"")</f>
        <v>75000</v>
      </c>
      <c r="M330" t="str">
        <f>IFERROR(INDEX($M$2:$M$1132,MATCH(B330,$B$2:$B$1132,0)),"")</f>
        <v>EXCEL, SQL, FINANCIAL MODELLING, BUDGETING</v>
      </c>
      <c r="N330" t="s">
        <v>74</v>
      </c>
      <c r="O330" t="s">
        <v>80</v>
      </c>
    </row>
    <row r="331" spans="1:15" x14ac:dyDescent="0.25">
      <c r="A331">
        <v>18179</v>
      </c>
      <c r="B331" t="s">
        <v>18</v>
      </c>
      <c r="C331" t="s">
        <v>27</v>
      </c>
      <c r="D331" t="str">
        <f>IFERROR(INDEX(Sheet2!$B$2:$B$1132,MATCH(Sheet1!C331,Sheet1!$C$2:$C$1132,0)),"IDK")</f>
        <v>IT</v>
      </c>
      <c r="E331" t="s">
        <v>49</v>
      </c>
      <c r="F331" t="s">
        <v>54</v>
      </c>
      <c r="G331" s="1">
        <v>45545</v>
      </c>
      <c r="H331" t="s">
        <v>55</v>
      </c>
      <c r="I331" s="2" t="s">
        <v>88</v>
      </c>
      <c r="J331" s="2" t="s">
        <v>91</v>
      </c>
      <c r="K331">
        <f>IFERROR(INDEX(Sheet2!$C$2:$C$1132,MATCH(Sheet1!C331,Sheet1!$C$2:$C$1132,0)),"")</f>
        <v>40000</v>
      </c>
      <c r="L331">
        <f>IFERROR(INDEX(Sheet2!$D$2:$D$1132,MATCH(Sheet1!C331,$C$2:$C$1132,0)),"")</f>
        <v>80000</v>
      </c>
      <c r="M331" t="str">
        <f>IFERROR(INDEX($M$2:$M$1132,MATCH(B331,$B$2:$B$1132,0)),"")</f>
        <v>EXCEL, SQL, FINANCIAL MODELLING, BUDGETING</v>
      </c>
      <c r="N331" t="s">
        <v>74</v>
      </c>
      <c r="O331" t="s">
        <v>79</v>
      </c>
    </row>
    <row r="332" spans="1:15" x14ac:dyDescent="0.25">
      <c r="A332">
        <v>18180</v>
      </c>
      <c r="B332" t="s">
        <v>18</v>
      </c>
      <c r="C332" t="s">
        <v>28</v>
      </c>
      <c r="D332" t="str">
        <f>IFERROR(INDEX(Sheet2!$B$2:$B$1132,MATCH(Sheet1!C332,Sheet1!$C$2:$C$1132,0)),"IDK")</f>
        <v>IT</v>
      </c>
      <c r="E332" t="s">
        <v>49</v>
      </c>
      <c r="F332" t="s">
        <v>54</v>
      </c>
      <c r="G332" s="1">
        <v>45447</v>
      </c>
      <c r="H332" t="s">
        <v>55</v>
      </c>
      <c r="I332" s="2" t="s">
        <v>92</v>
      </c>
      <c r="J332" s="2" t="s">
        <v>93</v>
      </c>
      <c r="K332">
        <f>IFERROR(INDEX(Sheet2!$C$2:$C$1132,MATCH(Sheet1!C332,Sheet1!$C$2:$C$1132,0)),"")</f>
        <v>30000</v>
      </c>
      <c r="L332">
        <f>IFERROR(INDEX(Sheet2!$D$2:$D$1132,MATCH(Sheet1!C332,$C$2:$C$1132,0)),"")</f>
        <v>55000</v>
      </c>
      <c r="M332" t="str">
        <f>IFERROR(INDEX($M$2:$M$1132,MATCH(B332,$B$2:$B$1132,0)),"")</f>
        <v>EXCEL, SQL, FINANCIAL MODELLING, BUDGETING</v>
      </c>
      <c r="N332" t="s">
        <v>74</v>
      </c>
      <c r="O332" t="s">
        <v>37</v>
      </c>
    </row>
    <row r="333" spans="1:15" x14ac:dyDescent="0.25">
      <c r="A333">
        <v>18181</v>
      </c>
      <c r="B333" t="s">
        <v>18</v>
      </c>
      <c r="C333" t="s">
        <v>29</v>
      </c>
      <c r="D333" t="str">
        <f>IFERROR(INDEX(Sheet2!$B$2:$B$1132,MATCH(Sheet1!C333,Sheet1!$C$2:$C$1132,0)),"IDK")</f>
        <v>IT</v>
      </c>
      <c r="E333" t="s">
        <v>49</v>
      </c>
      <c r="F333" t="s">
        <v>54</v>
      </c>
      <c r="G333" s="1">
        <v>45463</v>
      </c>
      <c r="H333" t="s">
        <v>55</v>
      </c>
      <c r="I333" s="2" t="s">
        <v>94</v>
      </c>
      <c r="J333" s="2" t="s">
        <v>95</v>
      </c>
      <c r="K333">
        <f>IFERROR(INDEX(Sheet2!$C$2:$C$1132,MATCH(Sheet1!C333,Sheet1!$C$2:$C$1132,0)),"")</f>
        <v>35000</v>
      </c>
      <c r="L333">
        <f>IFERROR(INDEX(Sheet2!$D$2:$D$1132,MATCH(Sheet1!C333,$C$2:$C$1132,0)),"")</f>
        <v>70000</v>
      </c>
      <c r="M333" t="str">
        <f>IFERROR(INDEX($M$2:$M$1132,MATCH(B333,$B$2:$B$1132,0)),"")</f>
        <v>EXCEL, SQL, FINANCIAL MODELLING, BUDGETING</v>
      </c>
      <c r="N333" t="s">
        <v>74</v>
      </c>
      <c r="O333" t="s">
        <v>78</v>
      </c>
    </row>
    <row r="334" spans="1:15" x14ac:dyDescent="0.25">
      <c r="A334">
        <v>18182</v>
      </c>
      <c r="B334" t="s">
        <v>18</v>
      </c>
      <c r="C334" t="s">
        <v>23</v>
      </c>
      <c r="D334" t="str">
        <f>IFERROR(INDEX(Sheet2!$B$2:$B$1132,MATCH(Sheet1!C334,Sheet1!$C$2:$C$1132,0)),"IDK")</f>
        <v>IT</v>
      </c>
      <c r="E334" t="s">
        <v>49</v>
      </c>
      <c r="F334" t="s">
        <v>54</v>
      </c>
      <c r="G334" s="1">
        <v>45622</v>
      </c>
      <c r="H334" t="s">
        <v>55</v>
      </c>
      <c r="I334" s="2" t="s">
        <v>98</v>
      </c>
      <c r="J334" s="2" t="s">
        <v>99</v>
      </c>
      <c r="K334">
        <f>IFERROR(INDEX(Sheet2!$C$2:$C$1132,MATCH(Sheet1!C334,Sheet1!$C$2:$C$1132,0)),"")</f>
        <v>35000</v>
      </c>
      <c r="L334">
        <f>IFERROR(INDEX(Sheet2!$D$2:$D$1132,MATCH(Sheet1!C334,$C$2:$C$1132,0)),"")</f>
        <v>70000</v>
      </c>
      <c r="M334" t="str">
        <f>IFERROR(INDEX($M$2:$M$1132,MATCH(B334,$B$2:$B$1132,0)),"")</f>
        <v>EXCEL, SQL, FINANCIAL MODELLING, BUDGETING</v>
      </c>
      <c r="N334" t="s">
        <v>74</v>
      </c>
      <c r="O334" t="s">
        <v>79</v>
      </c>
    </row>
    <row r="335" spans="1:15" x14ac:dyDescent="0.25">
      <c r="A335">
        <v>18183</v>
      </c>
      <c r="B335" t="s">
        <v>18</v>
      </c>
      <c r="C335" t="s">
        <v>30</v>
      </c>
      <c r="D335" t="str">
        <f>IFERROR(INDEX(Sheet2!$B$2:$B$1132,MATCH(Sheet1!C335,Sheet1!$C$2:$C$1132,0)),"IDK")</f>
        <v>IT</v>
      </c>
      <c r="E335" t="s">
        <v>49</v>
      </c>
      <c r="F335" t="s">
        <v>54</v>
      </c>
      <c r="G335" s="1">
        <v>45542</v>
      </c>
      <c r="H335" t="s">
        <v>55</v>
      </c>
      <c r="I335" s="2" t="s">
        <v>100</v>
      </c>
      <c r="J335" s="2" t="s">
        <v>101</v>
      </c>
      <c r="K335">
        <f>IFERROR(INDEX(Sheet2!$C$2:$C$1132,MATCH(Sheet1!C335,Sheet1!$C$2:$C$1132,0)),"")</f>
        <v>25000</v>
      </c>
      <c r="L335">
        <f>IFERROR(INDEX(Sheet2!$D$2:$D$1132,MATCH(Sheet1!C335,$C$2:$C$1132,0)),"")</f>
        <v>60000</v>
      </c>
      <c r="M335" t="str">
        <f>IFERROR(INDEX($M$2:$M$1132,MATCH(B335,$B$2:$B$1132,0)),"")</f>
        <v>EXCEL, SQL, FINANCIAL MODELLING, BUDGETING</v>
      </c>
      <c r="N335" t="s">
        <v>74</v>
      </c>
      <c r="O335" t="s">
        <v>80</v>
      </c>
    </row>
    <row r="336" spans="1:15" x14ac:dyDescent="0.25">
      <c r="A336">
        <v>18184</v>
      </c>
      <c r="B336" t="s">
        <v>18</v>
      </c>
      <c r="C336" t="s">
        <v>31</v>
      </c>
      <c r="D336" t="str">
        <f>IFERROR(INDEX(Sheet2!$B$2:$B$1132,MATCH(Sheet1!C336,Sheet1!$C$2:$C$1132,0)),"IDK")</f>
        <v>IT</v>
      </c>
      <c r="E336" t="s">
        <v>49</v>
      </c>
      <c r="F336" t="s">
        <v>54</v>
      </c>
      <c r="G336" s="1">
        <v>45599</v>
      </c>
      <c r="H336" t="s">
        <v>55</v>
      </c>
      <c r="I336" s="2" t="s">
        <v>92</v>
      </c>
      <c r="J336" s="2" t="s">
        <v>93</v>
      </c>
      <c r="K336">
        <f>IFERROR(INDEX(Sheet2!$C$2:$C$1132,MATCH(Sheet1!C336,Sheet1!$C$2:$C$1132,0)),"")</f>
        <v>25000</v>
      </c>
      <c r="L336">
        <f>IFERROR(INDEX(Sheet2!$D$2:$D$1132,MATCH(Sheet1!C336,$C$2:$C$1132,0)),"")</f>
        <v>75000</v>
      </c>
      <c r="M336" t="str">
        <f>IFERROR(INDEX($M$2:$M$1132,MATCH(B336,$B$2:$B$1132,0)),"")</f>
        <v>EXCEL, SQL, FINANCIAL MODELLING, BUDGETING</v>
      </c>
      <c r="N336" t="s">
        <v>74</v>
      </c>
      <c r="O336" t="s">
        <v>77</v>
      </c>
    </row>
    <row r="337" spans="1:15" x14ac:dyDescent="0.25">
      <c r="A337">
        <v>18185</v>
      </c>
      <c r="B337" t="s">
        <v>18</v>
      </c>
      <c r="C337" t="s">
        <v>32</v>
      </c>
      <c r="D337" t="str">
        <f>IFERROR(INDEX(Sheet2!$B$2:$B$1132,MATCH(Sheet1!C337,Sheet1!$C$2:$C$1132,0)),"IDK")</f>
        <v>SOCIAL</v>
      </c>
      <c r="E337" t="s">
        <v>49</v>
      </c>
      <c r="F337" t="s">
        <v>54</v>
      </c>
      <c r="G337" s="1">
        <v>45574</v>
      </c>
      <c r="H337" t="s">
        <v>55</v>
      </c>
      <c r="I337" s="2" t="s">
        <v>94</v>
      </c>
      <c r="J337" s="2" t="s">
        <v>95</v>
      </c>
      <c r="K337">
        <f>IFERROR(INDEX(Sheet2!$C$2:$C$1132,MATCH(Sheet1!C337,Sheet1!$C$2:$C$1132,0)),"")</f>
        <v>20000</v>
      </c>
      <c r="L337">
        <f>IFERROR(INDEX(Sheet2!$D$2:$D$1132,MATCH(Sheet1!C337,$C$2:$C$1132,0)),"")</f>
        <v>70000</v>
      </c>
      <c r="M337" t="str">
        <f>IFERROR(INDEX($M$2:$M$1132,MATCH(B337,$B$2:$B$1132,0)),"")</f>
        <v>EXCEL, SQL, FINANCIAL MODELLING, BUDGETING</v>
      </c>
      <c r="N337" t="s">
        <v>74</v>
      </c>
      <c r="O337" t="s">
        <v>79</v>
      </c>
    </row>
    <row r="338" spans="1:15" x14ac:dyDescent="0.25">
      <c r="A338">
        <v>18186</v>
      </c>
      <c r="B338" t="s">
        <v>18</v>
      </c>
      <c r="C338" t="s">
        <v>33</v>
      </c>
      <c r="D338" t="str">
        <f>IFERROR(INDEX(Sheet2!$B$2:$B$1132,MATCH(Sheet1!C338,Sheet1!$C$2:$C$1132,0)),"IDK")</f>
        <v>FINANCE</v>
      </c>
      <c r="E338" t="s">
        <v>49</v>
      </c>
      <c r="F338" t="s">
        <v>54</v>
      </c>
      <c r="G338" s="1">
        <v>45355</v>
      </c>
      <c r="H338" t="s">
        <v>55</v>
      </c>
      <c r="I338" s="2" t="s">
        <v>96</v>
      </c>
      <c r="J338" s="2" t="s">
        <v>97</v>
      </c>
      <c r="K338">
        <f>IFERROR(INDEX(Sheet2!$C$2:$C$1132,MATCH(Sheet1!C338,Sheet1!$C$2:$C$1132,0)),"")</f>
        <v>40000</v>
      </c>
      <c r="L338">
        <f>IFERROR(INDEX(Sheet2!$D$2:$D$1132,MATCH(Sheet1!C338,$C$2:$C$1132,0)),"")</f>
        <v>85000</v>
      </c>
      <c r="M338" t="str">
        <f>IFERROR(INDEX($M$2:$M$1132,MATCH(B338,$B$2:$B$1132,0)),"")</f>
        <v>EXCEL, SQL, FINANCIAL MODELLING, BUDGETING</v>
      </c>
      <c r="N338" t="s">
        <v>74</v>
      </c>
      <c r="O338" t="s">
        <v>37</v>
      </c>
    </row>
    <row r="339" spans="1:15" x14ac:dyDescent="0.25">
      <c r="A339">
        <v>18187</v>
      </c>
      <c r="B339" t="s">
        <v>18</v>
      </c>
      <c r="C339" t="s">
        <v>34</v>
      </c>
      <c r="D339" t="str">
        <f>IFERROR(INDEX(Sheet2!$B$2:$B$1132,MATCH(Sheet1!C339,Sheet1!$C$2:$C$1132,0)),"IDK")</f>
        <v>IT</v>
      </c>
      <c r="E339" t="s">
        <v>50</v>
      </c>
      <c r="F339" t="s">
        <v>54</v>
      </c>
      <c r="G339" s="1">
        <v>45411</v>
      </c>
      <c r="H339" t="s">
        <v>55</v>
      </c>
      <c r="I339" s="2" t="s">
        <v>98</v>
      </c>
      <c r="J339" s="2" t="s">
        <v>99</v>
      </c>
      <c r="K339">
        <f>IFERROR(INDEX(Sheet2!$C$2:$C$1132,MATCH(Sheet1!C339,Sheet1!$C$2:$C$1132,0)),"")</f>
        <v>35000</v>
      </c>
      <c r="L339">
        <f>IFERROR(INDEX(Sheet2!$D$2:$D$1132,MATCH(Sheet1!C339,$C$2:$C$1132,0)),"")</f>
        <v>90000</v>
      </c>
      <c r="M339" t="str">
        <f>IFERROR(INDEX($M$2:$M$1132,MATCH(B339,$B$2:$B$1132,0)),"")</f>
        <v>EXCEL, SQL, FINANCIAL MODELLING, BUDGETING</v>
      </c>
      <c r="N339" t="s">
        <v>74</v>
      </c>
      <c r="O339" t="s">
        <v>78</v>
      </c>
    </row>
    <row r="340" spans="1:15" x14ac:dyDescent="0.25">
      <c r="A340">
        <v>18188</v>
      </c>
      <c r="B340" t="s">
        <v>18</v>
      </c>
      <c r="C340" t="s">
        <v>35</v>
      </c>
      <c r="D340" t="str">
        <f>IFERROR(INDEX(Sheet2!$B$2:$B$1132,MATCH(Sheet1!C340,Sheet1!$C$2:$C$1132,0)),"IDK")</f>
        <v>SOCIAL</v>
      </c>
      <c r="E340" t="s">
        <v>48</v>
      </c>
      <c r="F340" t="s">
        <v>54</v>
      </c>
      <c r="G340" s="1">
        <v>45647</v>
      </c>
      <c r="H340" t="s">
        <v>55</v>
      </c>
      <c r="I340" s="2" t="s">
        <v>100</v>
      </c>
      <c r="J340" s="2" t="s">
        <v>101</v>
      </c>
      <c r="K340">
        <f>IFERROR(INDEX(Sheet2!$C$2:$C$1132,MATCH(Sheet1!C340,Sheet1!$C$2:$C$1132,0)),"")</f>
        <v>30000</v>
      </c>
      <c r="L340">
        <f>IFERROR(INDEX(Sheet2!$D$2:$D$1132,MATCH(Sheet1!C340,$C$2:$C$1132,0)),"")</f>
        <v>95000</v>
      </c>
      <c r="M340" t="str">
        <f>IFERROR(INDEX($M$2:$M$1132,MATCH(B340,$B$2:$B$1132,0)),"")</f>
        <v>EXCEL, SQL, FINANCIAL MODELLING, BUDGETING</v>
      </c>
      <c r="N340" t="s">
        <v>74</v>
      </c>
      <c r="O340" t="s">
        <v>78</v>
      </c>
    </row>
    <row r="341" spans="1:15" x14ac:dyDescent="0.25">
      <c r="A341">
        <v>18189</v>
      </c>
      <c r="B341" t="s">
        <v>18</v>
      </c>
      <c r="C341" t="s">
        <v>36</v>
      </c>
      <c r="D341" t="str">
        <f>IFERROR(INDEX(Sheet2!$B$2:$B$1132,MATCH(Sheet1!C341,Sheet1!$C$2:$C$1132,0)),"IDK")</f>
        <v>IT</v>
      </c>
      <c r="E341" t="s">
        <v>49</v>
      </c>
      <c r="F341" t="s">
        <v>54</v>
      </c>
      <c r="G341" s="1">
        <v>45496</v>
      </c>
      <c r="H341" t="s">
        <v>55</v>
      </c>
      <c r="I341" s="2" t="s">
        <v>102</v>
      </c>
      <c r="J341" s="2" t="s">
        <v>103</v>
      </c>
      <c r="K341">
        <f>IFERROR(INDEX(Sheet2!$C$2:$C$1132,MATCH(Sheet1!C341,Sheet1!$C$2:$C$1132,0)),"")</f>
        <v>50000</v>
      </c>
      <c r="L341">
        <f>IFERROR(INDEX(Sheet2!$D$2:$D$1132,MATCH(Sheet1!C341,$C$2:$C$1132,0)),"")</f>
        <v>100000</v>
      </c>
      <c r="M341" t="str">
        <f>IFERROR(INDEX($M$2:$M$1132,MATCH(B341,$B$2:$B$1132,0)),"")</f>
        <v>EXCEL, SQL, FINANCIAL MODELLING, BUDGETING</v>
      </c>
      <c r="N341" t="s">
        <v>74</v>
      </c>
      <c r="O341" t="s">
        <v>79</v>
      </c>
    </row>
    <row r="342" spans="1:15" x14ac:dyDescent="0.25">
      <c r="A342">
        <v>18190</v>
      </c>
      <c r="B342" t="s">
        <v>18</v>
      </c>
      <c r="C342" t="s">
        <v>27</v>
      </c>
      <c r="D342" t="str">
        <f>IFERROR(INDEX(Sheet2!$B$2:$B$1132,MATCH(Sheet1!C342,Sheet1!$C$2:$C$1132,0)),"IDK")</f>
        <v>IT</v>
      </c>
      <c r="E342" t="s">
        <v>48</v>
      </c>
      <c r="F342" t="s">
        <v>54</v>
      </c>
      <c r="G342" s="1">
        <v>45332</v>
      </c>
      <c r="H342" t="s">
        <v>55</v>
      </c>
      <c r="I342" s="2" t="s">
        <v>104</v>
      </c>
      <c r="J342" s="2" t="s">
        <v>105</v>
      </c>
      <c r="K342">
        <f>IFERROR(INDEX(Sheet2!$C$2:$C$1132,MATCH(Sheet1!C342,Sheet1!$C$2:$C$1132,0)),"")</f>
        <v>40000</v>
      </c>
      <c r="L342">
        <f>IFERROR(INDEX(Sheet2!$D$2:$D$1132,MATCH(Sheet1!C342,$C$2:$C$1132,0)),"")</f>
        <v>80000</v>
      </c>
      <c r="M342" t="str">
        <f>IFERROR(INDEX($M$2:$M$1132,MATCH(B342,$B$2:$B$1132,0)),"")</f>
        <v>EXCEL, SQL, FINANCIAL MODELLING, BUDGETING</v>
      </c>
      <c r="N342" t="s">
        <v>74</v>
      </c>
      <c r="O342" t="s">
        <v>80</v>
      </c>
    </row>
    <row r="343" spans="1:15" x14ac:dyDescent="0.25">
      <c r="A343">
        <v>18191</v>
      </c>
      <c r="B343" t="s">
        <v>18</v>
      </c>
      <c r="C343" t="s">
        <v>28</v>
      </c>
      <c r="D343" t="str">
        <f>IFERROR(INDEX(Sheet2!$B$2:$B$1132,MATCH(Sheet1!C343,Sheet1!$C$2:$C$1132,0)),"IDK")</f>
        <v>IT</v>
      </c>
      <c r="E343" t="s">
        <v>48</v>
      </c>
      <c r="F343" t="s">
        <v>54</v>
      </c>
      <c r="G343" s="1">
        <v>45612</v>
      </c>
      <c r="H343" t="s">
        <v>55</v>
      </c>
      <c r="I343" s="2" t="s">
        <v>88</v>
      </c>
      <c r="J343" s="2" t="s">
        <v>90</v>
      </c>
      <c r="K343">
        <f>IFERROR(INDEX(Sheet2!$C$2:$C$1132,MATCH(Sheet1!C343,Sheet1!$C$2:$C$1132,0)),"")</f>
        <v>30000</v>
      </c>
      <c r="L343">
        <f>IFERROR(INDEX(Sheet2!$D$2:$D$1132,MATCH(Sheet1!C343,$C$2:$C$1132,0)),"")</f>
        <v>55000</v>
      </c>
      <c r="M343" t="str">
        <f>IFERROR(INDEX($M$2:$M$1132,MATCH(B343,$B$2:$B$1132,0)),"")</f>
        <v>EXCEL, SQL, FINANCIAL MODELLING, BUDGETING</v>
      </c>
      <c r="N343" t="s">
        <v>74</v>
      </c>
      <c r="O343" t="s">
        <v>77</v>
      </c>
    </row>
    <row r="344" spans="1:15" x14ac:dyDescent="0.25">
      <c r="A344">
        <v>18192</v>
      </c>
      <c r="B344" t="s">
        <v>18</v>
      </c>
      <c r="C344" t="s">
        <v>29</v>
      </c>
      <c r="D344" t="str">
        <f>IFERROR(INDEX(Sheet2!$B$2:$B$1132,MATCH(Sheet1!C344,Sheet1!$C$2:$C$1132,0)),"IDK")</f>
        <v>IT</v>
      </c>
      <c r="E344" t="s">
        <v>48</v>
      </c>
      <c r="F344" t="s">
        <v>54</v>
      </c>
      <c r="G344" s="1">
        <v>45466</v>
      </c>
      <c r="H344" t="s">
        <v>55</v>
      </c>
      <c r="I344" s="2" t="s">
        <v>86</v>
      </c>
      <c r="J344" s="2" t="s">
        <v>87</v>
      </c>
      <c r="K344">
        <f>IFERROR(INDEX(Sheet2!$C$2:$C$1132,MATCH(Sheet1!C344,Sheet1!$C$2:$C$1132,0)),"")</f>
        <v>35000</v>
      </c>
      <c r="L344">
        <f>IFERROR(INDEX(Sheet2!$D$2:$D$1132,MATCH(Sheet1!C344,$C$2:$C$1132,0)),"")</f>
        <v>70000</v>
      </c>
      <c r="M344" t="str">
        <f>IFERROR(INDEX($M$2:$M$1132,MATCH(B344,$B$2:$B$1132,0)),"")</f>
        <v>EXCEL, SQL, FINANCIAL MODELLING, BUDGETING</v>
      </c>
      <c r="N344" t="s">
        <v>74</v>
      </c>
      <c r="O344" t="s">
        <v>79</v>
      </c>
    </row>
    <row r="345" spans="1:15" x14ac:dyDescent="0.25">
      <c r="A345">
        <v>18193</v>
      </c>
      <c r="B345" t="s">
        <v>18</v>
      </c>
      <c r="C345" t="s">
        <v>23</v>
      </c>
      <c r="D345" t="str">
        <f>IFERROR(INDEX(Sheet2!$B$2:$B$1132,MATCH(Sheet1!C345,Sheet1!$C$2:$C$1132,0)),"IDK")</f>
        <v>IT</v>
      </c>
      <c r="E345" t="s">
        <v>48</v>
      </c>
      <c r="F345" t="s">
        <v>54</v>
      </c>
      <c r="G345" s="1">
        <v>45441</v>
      </c>
      <c r="H345" t="s">
        <v>55</v>
      </c>
      <c r="I345" s="2" t="s">
        <v>92</v>
      </c>
      <c r="J345" s="2" t="s">
        <v>93</v>
      </c>
      <c r="K345">
        <f>IFERROR(INDEX(Sheet2!$C$2:$C$1132,MATCH(Sheet1!C345,Sheet1!$C$2:$C$1132,0)),"")</f>
        <v>35000</v>
      </c>
      <c r="L345">
        <f>IFERROR(INDEX(Sheet2!$D$2:$D$1132,MATCH(Sheet1!C345,$C$2:$C$1132,0)),"")</f>
        <v>70000</v>
      </c>
      <c r="M345" t="str">
        <f>IFERROR(INDEX($M$2:$M$1132,MATCH(B345,$B$2:$B$1132,0)),"")</f>
        <v>EXCEL, SQL, FINANCIAL MODELLING, BUDGETING</v>
      </c>
      <c r="N345" t="s">
        <v>74</v>
      </c>
      <c r="O345" t="s">
        <v>37</v>
      </c>
    </row>
    <row r="346" spans="1:15" x14ac:dyDescent="0.25">
      <c r="A346">
        <v>18194</v>
      </c>
      <c r="B346" t="s">
        <v>18</v>
      </c>
      <c r="C346" t="s">
        <v>30</v>
      </c>
      <c r="D346" t="str">
        <f>IFERROR(INDEX(Sheet2!$B$2:$B$1132,MATCH(Sheet1!C346,Sheet1!$C$2:$C$1132,0)),"IDK")</f>
        <v>IT</v>
      </c>
      <c r="E346" t="s">
        <v>48</v>
      </c>
      <c r="F346" t="s">
        <v>54</v>
      </c>
      <c r="G346" s="1">
        <v>45376</v>
      </c>
      <c r="H346" t="s">
        <v>55</v>
      </c>
      <c r="I346" s="2" t="s">
        <v>96</v>
      </c>
      <c r="J346" s="2" t="s">
        <v>97</v>
      </c>
      <c r="K346">
        <f>IFERROR(INDEX(Sheet2!$C$2:$C$1132,MATCH(Sheet1!C346,Sheet1!$C$2:$C$1132,0)),"")</f>
        <v>25000</v>
      </c>
      <c r="L346">
        <f>IFERROR(INDEX(Sheet2!$D$2:$D$1132,MATCH(Sheet1!C346,$C$2:$C$1132,0)),"")</f>
        <v>60000</v>
      </c>
      <c r="M346" t="str">
        <f>IFERROR(INDEX($M$2:$M$1132,MATCH(B346,$B$2:$B$1132,0)),"")</f>
        <v>EXCEL, SQL, FINANCIAL MODELLING, BUDGETING</v>
      </c>
      <c r="N346" t="s">
        <v>74</v>
      </c>
      <c r="O346" t="s">
        <v>78</v>
      </c>
    </row>
    <row r="347" spans="1:15" x14ac:dyDescent="0.25">
      <c r="A347">
        <v>18195</v>
      </c>
      <c r="B347" t="s">
        <v>18</v>
      </c>
      <c r="C347" t="s">
        <v>31</v>
      </c>
      <c r="D347" t="str">
        <f>IFERROR(INDEX(Sheet2!$B$2:$B$1132,MATCH(Sheet1!C347,Sheet1!$C$2:$C$1132,0)),"IDK")</f>
        <v>IT</v>
      </c>
      <c r="E347" t="s">
        <v>48</v>
      </c>
      <c r="F347" t="s">
        <v>54</v>
      </c>
      <c r="G347" s="1">
        <v>45355</v>
      </c>
      <c r="H347" t="s">
        <v>55</v>
      </c>
      <c r="I347" s="2" t="s">
        <v>98</v>
      </c>
      <c r="J347" s="2" t="s">
        <v>99</v>
      </c>
      <c r="K347">
        <f>IFERROR(INDEX(Sheet2!$C$2:$C$1132,MATCH(Sheet1!C347,Sheet1!$C$2:$C$1132,0)),"")</f>
        <v>25000</v>
      </c>
      <c r="L347">
        <f>IFERROR(INDEX(Sheet2!$D$2:$D$1132,MATCH(Sheet1!C347,$C$2:$C$1132,0)),"")</f>
        <v>75000</v>
      </c>
      <c r="M347" t="str">
        <f>IFERROR(INDEX($M$2:$M$1132,MATCH(B347,$B$2:$B$1132,0)),"")</f>
        <v>EXCEL, SQL, FINANCIAL MODELLING, BUDGETING</v>
      </c>
      <c r="N347" t="s">
        <v>74</v>
      </c>
      <c r="O347" t="s">
        <v>80</v>
      </c>
    </row>
    <row r="348" spans="1:15" x14ac:dyDescent="0.25">
      <c r="A348">
        <v>18196</v>
      </c>
      <c r="B348" t="s">
        <v>18</v>
      </c>
      <c r="C348" t="s">
        <v>32</v>
      </c>
      <c r="D348" t="str">
        <f>IFERROR(INDEX(Sheet2!$B$2:$B$1132,MATCH(Sheet1!C348,Sheet1!$C$2:$C$1132,0)),"IDK")</f>
        <v>SOCIAL</v>
      </c>
      <c r="E348" t="s">
        <v>48</v>
      </c>
      <c r="F348" t="s">
        <v>54</v>
      </c>
      <c r="G348" s="1">
        <v>45573</v>
      </c>
      <c r="H348" t="s">
        <v>55</v>
      </c>
      <c r="I348" s="2" t="s">
        <v>88</v>
      </c>
      <c r="J348" s="2" t="s">
        <v>90</v>
      </c>
      <c r="K348">
        <f>IFERROR(INDEX(Sheet2!$C$2:$C$1132,MATCH(Sheet1!C348,Sheet1!$C$2:$C$1132,0)),"")</f>
        <v>20000</v>
      </c>
      <c r="L348">
        <f>IFERROR(INDEX(Sheet2!$D$2:$D$1132,MATCH(Sheet1!C348,$C$2:$C$1132,0)),"")</f>
        <v>70000</v>
      </c>
      <c r="M348" t="str">
        <f>IFERROR(INDEX($M$2:$M$1132,MATCH(B348,$B$2:$B$1132,0)),"")</f>
        <v>EXCEL, SQL, FINANCIAL MODELLING, BUDGETING</v>
      </c>
      <c r="N348" t="s">
        <v>74</v>
      </c>
      <c r="O348" t="s">
        <v>79</v>
      </c>
    </row>
    <row r="349" spans="1:15" x14ac:dyDescent="0.25">
      <c r="A349">
        <v>18197</v>
      </c>
      <c r="B349" t="s">
        <v>18</v>
      </c>
      <c r="C349" t="s">
        <v>33</v>
      </c>
      <c r="D349" t="str">
        <f>IFERROR(INDEX(Sheet2!$B$2:$B$1132,MATCH(Sheet1!C349,Sheet1!$C$2:$C$1132,0)),"IDK")</f>
        <v>FINANCE</v>
      </c>
      <c r="E349" t="s">
        <v>48</v>
      </c>
      <c r="F349" t="s">
        <v>54</v>
      </c>
      <c r="G349" s="1">
        <v>45608</v>
      </c>
      <c r="H349" t="s">
        <v>59</v>
      </c>
      <c r="I349" s="2" t="s">
        <v>161</v>
      </c>
      <c r="J349" s="2" t="s">
        <v>162</v>
      </c>
      <c r="K349">
        <f>IFERROR(INDEX(Sheet2!$C$2:$C$1132,MATCH(Sheet1!C349,Sheet1!$C$2:$C$1132,0)),"")</f>
        <v>40000</v>
      </c>
      <c r="L349">
        <f>IFERROR(INDEX(Sheet2!$D$2:$D$1132,MATCH(Sheet1!C349,$C$2:$C$1132,0)),"")</f>
        <v>85000</v>
      </c>
      <c r="M349" t="str">
        <f>IFERROR(INDEX($M$2:$M$1132,MATCH(B349,$B$2:$B$1132,0)),"")</f>
        <v>EXCEL, SQL, FINANCIAL MODELLING, BUDGETING</v>
      </c>
      <c r="N349" t="s">
        <v>74</v>
      </c>
      <c r="O349" t="s">
        <v>37</v>
      </c>
    </row>
    <row r="350" spans="1:15" x14ac:dyDescent="0.25">
      <c r="A350">
        <v>18198</v>
      </c>
      <c r="B350" t="s">
        <v>18</v>
      </c>
      <c r="C350" t="s">
        <v>23</v>
      </c>
      <c r="D350" t="str">
        <f>IFERROR(INDEX(Sheet2!$B$2:$B$1132,MATCH(Sheet1!C350,Sheet1!$C$2:$C$1132,0)),"IDK")</f>
        <v>IT</v>
      </c>
      <c r="E350" t="s">
        <v>48</v>
      </c>
      <c r="F350" t="s">
        <v>54</v>
      </c>
      <c r="G350" s="1">
        <v>45459</v>
      </c>
      <c r="H350" t="s">
        <v>59</v>
      </c>
      <c r="I350" s="2" t="s">
        <v>161</v>
      </c>
      <c r="J350" s="2" t="s">
        <v>163</v>
      </c>
      <c r="K350">
        <f>IFERROR(INDEX(Sheet2!$C$2:$C$1132,MATCH(Sheet1!C350,Sheet1!$C$2:$C$1132,0)),"")</f>
        <v>35000</v>
      </c>
      <c r="L350">
        <f>IFERROR(INDEX(Sheet2!$D$2:$D$1132,MATCH(Sheet1!C350,$C$2:$C$1132,0)),"")</f>
        <v>70000</v>
      </c>
      <c r="M350" t="str">
        <f>IFERROR(INDEX($M$2:$M$1132,MATCH(B350,$B$2:$B$1132,0)),"")</f>
        <v>EXCEL, SQL, FINANCIAL MODELLING, BUDGETING</v>
      </c>
      <c r="N350" t="s">
        <v>74</v>
      </c>
      <c r="O350" t="s">
        <v>78</v>
      </c>
    </row>
    <row r="351" spans="1:15" x14ac:dyDescent="0.25">
      <c r="A351">
        <v>18199</v>
      </c>
      <c r="B351" t="s">
        <v>18</v>
      </c>
      <c r="C351" t="s">
        <v>24</v>
      </c>
      <c r="D351" t="str">
        <f>IFERROR(INDEX(Sheet2!$B$2:$B$1132,MATCH(Sheet1!C351,Sheet1!$C$2:$C$1132,0)),"IDK")</f>
        <v>HEALTH</v>
      </c>
      <c r="E351" t="s">
        <v>48</v>
      </c>
      <c r="F351" t="s">
        <v>54</v>
      </c>
      <c r="G351" s="1">
        <v>45429</v>
      </c>
      <c r="H351" t="s">
        <v>59</v>
      </c>
      <c r="I351" s="2" t="s">
        <v>164</v>
      </c>
      <c r="J351" s="2" t="s">
        <v>165</v>
      </c>
      <c r="K351">
        <f>IFERROR(INDEX(Sheet2!$C$2:$C$1132,MATCH(Sheet1!C351,Sheet1!$C$2:$C$1132,0)),"")</f>
        <v>25000</v>
      </c>
      <c r="L351">
        <f>IFERROR(INDEX(Sheet2!$D$2:$D$1132,MATCH(Sheet1!C351,$C$2:$C$1132,0)),"")</f>
        <v>50000</v>
      </c>
      <c r="M351" t="str">
        <f>IFERROR(INDEX($M$2:$M$1132,MATCH(B351,$B$2:$B$1132,0)),"")</f>
        <v>EXCEL, SQL, FINANCIAL MODELLING, BUDGETING</v>
      </c>
      <c r="N351" t="s">
        <v>74</v>
      </c>
      <c r="O351" t="s">
        <v>79</v>
      </c>
    </row>
    <row r="352" spans="1:15" x14ac:dyDescent="0.25">
      <c r="A352">
        <v>18200</v>
      </c>
      <c r="B352" t="s">
        <v>18</v>
      </c>
      <c r="C352" t="s">
        <v>25</v>
      </c>
      <c r="D352" t="str">
        <f>IFERROR(INDEX(Sheet2!$B$2:$B$1132,MATCH(Sheet1!C352,Sheet1!$C$2:$C$1132,0)),"IDK")</f>
        <v>SOCIAL</v>
      </c>
      <c r="E352" t="s">
        <v>48</v>
      </c>
      <c r="F352" t="s">
        <v>54</v>
      </c>
      <c r="G352" s="1">
        <v>45351</v>
      </c>
      <c r="H352" t="s">
        <v>59</v>
      </c>
      <c r="I352" s="2" t="s">
        <v>166</v>
      </c>
      <c r="J352" s="2" t="s">
        <v>167</v>
      </c>
      <c r="K352">
        <f>IFERROR(INDEX(Sheet2!$C$2:$C$1132,MATCH(Sheet1!C352,Sheet1!$C$2:$C$1132,0)),"")</f>
        <v>30000</v>
      </c>
      <c r="L352">
        <f>IFERROR(INDEX(Sheet2!$D$2:$D$1132,MATCH(Sheet1!C352,$C$2:$C$1132,0)),"")</f>
        <v>60000</v>
      </c>
      <c r="M352" t="str">
        <f>IFERROR(INDEX($M$2:$M$1132,MATCH(B352,$B$2:$B$1132,0)),"")</f>
        <v>EXCEL, SQL, FINANCIAL MODELLING, BUDGETING</v>
      </c>
      <c r="N352" t="s">
        <v>74</v>
      </c>
      <c r="O352" t="s">
        <v>80</v>
      </c>
    </row>
    <row r="353" spans="1:15" x14ac:dyDescent="0.25">
      <c r="A353">
        <v>18201</v>
      </c>
      <c r="B353" t="s">
        <v>18</v>
      </c>
      <c r="C353" t="s">
        <v>26</v>
      </c>
      <c r="D353" t="str">
        <f>IFERROR(INDEX(Sheet2!$B$2:$B$1132,MATCH(Sheet1!C353,Sheet1!$C$2:$C$1132,0)),"IDK")</f>
        <v>FINANCE</v>
      </c>
      <c r="E353" t="s">
        <v>48</v>
      </c>
      <c r="F353" t="s">
        <v>54</v>
      </c>
      <c r="G353" s="1">
        <v>45367</v>
      </c>
      <c r="H353" t="s">
        <v>59</v>
      </c>
      <c r="I353" s="2" t="s">
        <v>168</v>
      </c>
      <c r="J353" s="2" t="s">
        <v>169</v>
      </c>
      <c r="K353">
        <f>IFERROR(INDEX(Sheet2!$C$2:$C$1132,MATCH(Sheet1!C353,Sheet1!$C$2:$C$1132,0)),"")</f>
        <v>35000</v>
      </c>
      <c r="L353">
        <f>IFERROR(INDEX(Sheet2!$D$2:$D$1132,MATCH(Sheet1!C353,$C$2:$C$1132,0)),"")</f>
        <v>75000</v>
      </c>
      <c r="M353" t="str">
        <f>IFERROR(INDEX($M$2:$M$1132,MATCH(B353,$B$2:$B$1132,0)),"")</f>
        <v>EXCEL, SQL, FINANCIAL MODELLING, BUDGETING</v>
      </c>
      <c r="N353" t="s">
        <v>74</v>
      </c>
      <c r="O353" t="s">
        <v>77</v>
      </c>
    </row>
    <row r="354" spans="1:15" x14ac:dyDescent="0.25">
      <c r="A354">
        <v>18202</v>
      </c>
      <c r="B354" t="s">
        <v>18</v>
      </c>
      <c r="C354" t="s">
        <v>37</v>
      </c>
      <c r="D354" t="s">
        <v>43</v>
      </c>
      <c r="E354" t="s">
        <v>48</v>
      </c>
      <c r="F354" t="s">
        <v>54</v>
      </c>
      <c r="G354" s="1">
        <v>45374</v>
      </c>
      <c r="H354" t="s">
        <v>59</v>
      </c>
      <c r="I354" s="2" t="s">
        <v>168</v>
      </c>
      <c r="J354" s="2" t="s">
        <v>170</v>
      </c>
      <c r="K354">
        <v>45000</v>
      </c>
      <c r="L354">
        <v>90000</v>
      </c>
      <c r="M354" t="str">
        <f>IFERROR(INDEX($M$2:$M$1132,MATCH(B354,$B$2:$B$1132,0)),"")</f>
        <v>EXCEL, SQL, FINANCIAL MODELLING, BUDGETING</v>
      </c>
      <c r="N354" t="s">
        <v>74</v>
      </c>
      <c r="O354" t="s">
        <v>79</v>
      </c>
    </row>
    <row r="355" spans="1:15" x14ac:dyDescent="0.25">
      <c r="A355">
        <v>18203</v>
      </c>
      <c r="B355" t="s">
        <v>18</v>
      </c>
      <c r="C355" t="s">
        <v>38</v>
      </c>
      <c r="D355" t="s">
        <v>42</v>
      </c>
      <c r="E355" t="s">
        <v>48</v>
      </c>
      <c r="F355" t="s">
        <v>54</v>
      </c>
      <c r="G355" s="1">
        <v>45537</v>
      </c>
      <c r="H355" t="s">
        <v>59</v>
      </c>
      <c r="I355" s="2" t="s">
        <v>171</v>
      </c>
      <c r="J355" s="2" t="s">
        <v>172</v>
      </c>
      <c r="K355">
        <v>20000</v>
      </c>
      <c r="L355">
        <v>80000</v>
      </c>
      <c r="M355" t="str">
        <f>IFERROR(INDEX($M$2:$M$1132,MATCH(B355,$B$2:$B$1132,0)),"")</f>
        <v>EXCEL, SQL, FINANCIAL MODELLING, BUDGETING</v>
      </c>
      <c r="N355" t="s">
        <v>74</v>
      </c>
      <c r="O355" t="s">
        <v>37</v>
      </c>
    </row>
    <row r="356" spans="1:15" x14ac:dyDescent="0.25">
      <c r="A356">
        <v>18204</v>
      </c>
      <c r="B356" t="s">
        <v>18</v>
      </c>
      <c r="C356" t="s">
        <v>39</v>
      </c>
      <c r="D356" t="s">
        <v>42</v>
      </c>
      <c r="E356" t="s">
        <v>48</v>
      </c>
      <c r="F356" t="s">
        <v>54</v>
      </c>
      <c r="G356" s="1">
        <v>45347</v>
      </c>
      <c r="H356" t="s">
        <v>59</v>
      </c>
      <c r="I356" s="2" t="s">
        <v>161</v>
      </c>
      <c r="J356" s="2" t="s">
        <v>162</v>
      </c>
      <c r="K356">
        <v>25000</v>
      </c>
      <c r="L356">
        <v>85000</v>
      </c>
      <c r="M356" t="str">
        <f>IFERROR(INDEX($M$2:$M$1132,MATCH(B356,$B$2:$B$1132,0)),"")</f>
        <v>EXCEL, SQL, FINANCIAL MODELLING, BUDGETING</v>
      </c>
      <c r="N356" t="s">
        <v>74</v>
      </c>
      <c r="O356" t="s">
        <v>78</v>
      </c>
    </row>
    <row r="357" spans="1:15" x14ac:dyDescent="0.25">
      <c r="A357">
        <v>18205</v>
      </c>
      <c r="B357" t="s">
        <v>18</v>
      </c>
      <c r="C357" t="s">
        <v>23</v>
      </c>
      <c r="D357" t="str">
        <f>IFERROR(INDEX(Sheet2!$B$2:$B$1132,MATCH(Sheet1!C357,Sheet1!$C$2:$C$1132,0)),"IDK")</f>
        <v>IT</v>
      </c>
      <c r="E357" t="s">
        <v>48</v>
      </c>
      <c r="F357" t="s">
        <v>54</v>
      </c>
      <c r="G357" s="1">
        <v>45542</v>
      </c>
      <c r="H357" t="s">
        <v>59</v>
      </c>
      <c r="I357" s="2" t="s">
        <v>161</v>
      </c>
      <c r="J357" s="2" t="s">
        <v>163</v>
      </c>
      <c r="K357">
        <f>IFERROR(INDEX(Sheet2!$C$2:$C$1132,MATCH(Sheet1!C357,Sheet1!$C$2:$C$1132,0)),"")</f>
        <v>35000</v>
      </c>
      <c r="L357">
        <f>IFERROR(INDEX(Sheet2!$D$2:$D$1132,MATCH(Sheet1!C357,$C$2:$C$1132,0)),"")</f>
        <v>70000</v>
      </c>
      <c r="M357" t="str">
        <f>IFERROR(INDEX($M$2:$M$1132,MATCH(B357,$B$2:$B$1132,0)),"")</f>
        <v>EXCEL, SQL, FINANCIAL MODELLING, BUDGETING</v>
      </c>
      <c r="N357" t="s">
        <v>74</v>
      </c>
      <c r="O357" t="s">
        <v>80</v>
      </c>
    </row>
    <row r="358" spans="1:15" x14ac:dyDescent="0.25">
      <c r="A358">
        <v>18206</v>
      </c>
      <c r="B358" t="s">
        <v>18</v>
      </c>
      <c r="C358" t="s">
        <v>30</v>
      </c>
      <c r="D358" t="str">
        <f>IFERROR(INDEX(Sheet2!$B$2:$B$1132,MATCH(Sheet1!C358,Sheet1!$C$2:$C$1132,0)),"IDK")</f>
        <v>IT</v>
      </c>
      <c r="E358" t="s">
        <v>48</v>
      </c>
      <c r="F358" t="s">
        <v>54</v>
      </c>
      <c r="G358" s="1">
        <v>45348</v>
      </c>
      <c r="H358" t="s">
        <v>59</v>
      </c>
      <c r="I358" s="2" t="s">
        <v>164</v>
      </c>
      <c r="J358" s="2" t="s">
        <v>165</v>
      </c>
      <c r="K358">
        <f>IFERROR(INDEX(Sheet2!$C$2:$C$1132,MATCH(Sheet1!C358,Sheet1!$C$2:$C$1132,0)),"")</f>
        <v>25000</v>
      </c>
      <c r="L358">
        <f>IFERROR(INDEX(Sheet2!$D$2:$D$1132,MATCH(Sheet1!C358,$C$2:$C$1132,0)),"")</f>
        <v>60000</v>
      </c>
      <c r="M358" t="str">
        <f>IFERROR(INDEX($M$2:$M$1132,MATCH(B358,$B$2:$B$1132,0)),"")</f>
        <v>EXCEL, SQL, FINANCIAL MODELLING, BUDGETING</v>
      </c>
      <c r="N358" t="s">
        <v>74</v>
      </c>
      <c r="O358" t="s">
        <v>79</v>
      </c>
    </row>
    <row r="359" spans="1:15" x14ac:dyDescent="0.25">
      <c r="A359">
        <v>18207</v>
      </c>
      <c r="B359" t="s">
        <v>18</v>
      </c>
      <c r="C359" t="s">
        <v>31</v>
      </c>
      <c r="D359" t="str">
        <f>IFERROR(INDEX(Sheet2!$B$2:$B$1132,MATCH(Sheet1!C359,Sheet1!$C$2:$C$1132,0)),"IDK")</f>
        <v>IT</v>
      </c>
      <c r="E359" t="s">
        <v>48</v>
      </c>
      <c r="F359" t="s">
        <v>54</v>
      </c>
      <c r="G359" s="1">
        <v>45362</v>
      </c>
      <c r="H359" t="s">
        <v>59</v>
      </c>
      <c r="I359" s="2" t="s">
        <v>166</v>
      </c>
      <c r="J359" s="2" t="s">
        <v>167</v>
      </c>
      <c r="K359">
        <f>IFERROR(INDEX(Sheet2!$C$2:$C$1132,MATCH(Sheet1!C359,Sheet1!$C$2:$C$1132,0)),"")</f>
        <v>25000</v>
      </c>
      <c r="L359">
        <f>IFERROR(INDEX(Sheet2!$D$2:$D$1132,MATCH(Sheet1!C359,$C$2:$C$1132,0)),"")</f>
        <v>75000</v>
      </c>
      <c r="M359" t="str">
        <f>IFERROR(INDEX($M$2:$M$1132,MATCH(B359,$B$2:$B$1132,0)),"")</f>
        <v>EXCEL, SQL, FINANCIAL MODELLING, BUDGETING</v>
      </c>
      <c r="N359" t="s">
        <v>74</v>
      </c>
      <c r="O359" t="s">
        <v>37</v>
      </c>
    </row>
    <row r="360" spans="1:15" x14ac:dyDescent="0.25">
      <c r="A360">
        <v>18208</v>
      </c>
      <c r="B360" t="s">
        <v>18</v>
      </c>
      <c r="C360" t="s">
        <v>32</v>
      </c>
      <c r="D360" t="str">
        <f>IFERROR(INDEX(Sheet2!$B$2:$B$1132,MATCH(Sheet1!C360,Sheet1!$C$2:$C$1132,0)),"IDK")</f>
        <v>SOCIAL</v>
      </c>
      <c r="E360" t="s">
        <v>48</v>
      </c>
      <c r="F360" t="s">
        <v>54</v>
      </c>
      <c r="G360" s="1">
        <v>45460</v>
      </c>
      <c r="H360" t="s">
        <v>59</v>
      </c>
      <c r="I360" s="2" t="s">
        <v>168</v>
      </c>
      <c r="J360" s="2" t="s">
        <v>169</v>
      </c>
      <c r="K360">
        <f>IFERROR(INDEX(Sheet2!$C$2:$C$1132,MATCH(Sheet1!C360,Sheet1!$C$2:$C$1132,0)),"")</f>
        <v>20000</v>
      </c>
      <c r="L360">
        <f>IFERROR(INDEX(Sheet2!$D$2:$D$1132,MATCH(Sheet1!C360,$C$2:$C$1132,0)),"")</f>
        <v>70000</v>
      </c>
      <c r="M360" t="str">
        <f>IFERROR(INDEX($M$2:$M$1132,MATCH(B360,$B$2:$B$1132,0)),"")</f>
        <v>EXCEL, SQL, FINANCIAL MODELLING, BUDGETING</v>
      </c>
      <c r="N360" t="s">
        <v>74</v>
      </c>
      <c r="O360" t="s">
        <v>78</v>
      </c>
    </row>
    <row r="361" spans="1:15" x14ac:dyDescent="0.25">
      <c r="A361">
        <v>18209</v>
      </c>
      <c r="B361" t="s">
        <v>18</v>
      </c>
      <c r="C361" t="s">
        <v>33</v>
      </c>
      <c r="D361" t="str">
        <f>IFERROR(INDEX(Sheet2!$B$2:$B$1132,MATCH(Sheet1!C361,Sheet1!$C$2:$C$1132,0)),"IDK")</f>
        <v>FINANCE</v>
      </c>
      <c r="E361" t="s">
        <v>48</v>
      </c>
      <c r="F361" t="s">
        <v>54</v>
      </c>
      <c r="G361" s="1">
        <v>45336</v>
      </c>
      <c r="H361" t="s">
        <v>59</v>
      </c>
      <c r="I361" s="2" t="s">
        <v>168</v>
      </c>
      <c r="J361" s="2" t="s">
        <v>170</v>
      </c>
      <c r="K361">
        <f>IFERROR(INDEX(Sheet2!$C$2:$C$1132,MATCH(Sheet1!C361,Sheet1!$C$2:$C$1132,0)),"")</f>
        <v>40000</v>
      </c>
      <c r="L361">
        <f>IFERROR(INDEX(Sheet2!$D$2:$D$1132,MATCH(Sheet1!C361,$C$2:$C$1132,0)),"")</f>
        <v>85000</v>
      </c>
      <c r="M361" t="str">
        <f>IFERROR(INDEX($M$2:$M$1132,MATCH(B361,$B$2:$B$1132,0)),"")</f>
        <v>EXCEL, SQL, FINANCIAL MODELLING, BUDGETING</v>
      </c>
      <c r="N361" t="s">
        <v>74</v>
      </c>
      <c r="O361" t="s">
        <v>79</v>
      </c>
    </row>
    <row r="362" spans="1:15" x14ac:dyDescent="0.25">
      <c r="A362">
        <v>18210</v>
      </c>
      <c r="B362" t="s">
        <v>18</v>
      </c>
      <c r="C362" t="s">
        <v>23</v>
      </c>
      <c r="D362" t="str">
        <f>IFERROR(INDEX(Sheet2!$B$2:$B$1132,MATCH(Sheet1!C362,Sheet1!$C$2:$C$1132,0)),"IDK")</f>
        <v>IT</v>
      </c>
      <c r="E362" t="s">
        <v>48</v>
      </c>
      <c r="F362" t="s">
        <v>54</v>
      </c>
      <c r="G362" s="1">
        <v>45595</v>
      </c>
      <c r="H362" t="s">
        <v>59</v>
      </c>
      <c r="I362" s="2" t="s">
        <v>171</v>
      </c>
      <c r="J362" s="2" t="s">
        <v>172</v>
      </c>
      <c r="K362">
        <f>IFERROR(INDEX(Sheet2!$C$2:$C$1132,MATCH(Sheet1!C362,Sheet1!$C$2:$C$1132,0)),"")</f>
        <v>35000</v>
      </c>
      <c r="L362">
        <f>IFERROR(INDEX(Sheet2!$D$2:$D$1132,MATCH(Sheet1!C362,$C$2:$C$1132,0)),"")</f>
        <v>70000</v>
      </c>
      <c r="M362" t="str">
        <f>IFERROR(INDEX($M$2:$M$1132,MATCH(B362,$B$2:$B$1132,0)),"")</f>
        <v>EXCEL, SQL, FINANCIAL MODELLING, BUDGETING</v>
      </c>
      <c r="N362" t="s">
        <v>74</v>
      </c>
      <c r="O362" t="s">
        <v>80</v>
      </c>
    </row>
    <row r="363" spans="1:15" x14ac:dyDescent="0.25">
      <c r="A363">
        <v>18211</v>
      </c>
      <c r="B363" t="s">
        <v>18</v>
      </c>
      <c r="C363" t="s">
        <v>24</v>
      </c>
      <c r="D363" t="str">
        <f>IFERROR(INDEX(Sheet2!$B$2:$B$1132,MATCH(Sheet1!C363,Sheet1!$C$2:$C$1132,0)),"IDK")</f>
        <v>HEALTH</v>
      </c>
      <c r="E363" t="s">
        <v>48</v>
      </c>
      <c r="F363" t="s">
        <v>54</v>
      </c>
      <c r="G363" s="1">
        <v>45436</v>
      </c>
      <c r="H363" t="s">
        <v>59</v>
      </c>
      <c r="I363" s="2" t="s">
        <v>161</v>
      </c>
      <c r="J363" s="2" t="s">
        <v>162</v>
      </c>
      <c r="K363">
        <f>IFERROR(INDEX(Sheet2!$C$2:$C$1132,MATCH(Sheet1!C363,Sheet1!$C$2:$C$1132,0)),"")</f>
        <v>25000</v>
      </c>
      <c r="L363">
        <f>IFERROR(INDEX(Sheet2!$D$2:$D$1132,MATCH(Sheet1!C363,$C$2:$C$1132,0)),"")</f>
        <v>50000</v>
      </c>
      <c r="M363" t="str">
        <f>IFERROR(INDEX($M$2:$M$1132,MATCH(B363,$B$2:$B$1132,0)),"")</f>
        <v>EXCEL, SQL, FINANCIAL MODELLING, BUDGETING</v>
      </c>
      <c r="N363" t="s">
        <v>74</v>
      </c>
      <c r="O363" t="s">
        <v>77</v>
      </c>
    </row>
    <row r="364" spans="1:15" x14ac:dyDescent="0.25">
      <c r="A364">
        <v>18212</v>
      </c>
      <c r="B364" t="s">
        <v>18</v>
      </c>
      <c r="C364" t="s">
        <v>25</v>
      </c>
      <c r="D364" t="str">
        <f>IFERROR(INDEX(Sheet2!$B$2:$B$1132,MATCH(Sheet1!C364,Sheet1!$C$2:$C$1132,0)),"IDK")</f>
        <v>SOCIAL</v>
      </c>
      <c r="E364" t="s">
        <v>48</v>
      </c>
      <c r="F364" t="s">
        <v>54</v>
      </c>
      <c r="G364" s="1">
        <v>45310</v>
      </c>
      <c r="H364" t="s">
        <v>59</v>
      </c>
      <c r="I364" s="2" t="s">
        <v>161</v>
      </c>
      <c r="J364" s="2" t="s">
        <v>163</v>
      </c>
      <c r="K364">
        <f>IFERROR(INDEX(Sheet2!$C$2:$C$1132,MATCH(Sheet1!C364,Sheet1!$C$2:$C$1132,0)),"")</f>
        <v>30000</v>
      </c>
      <c r="L364">
        <f>IFERROR(INDEX(Sheet2!$D$2:$D$1132,MATCH(Sheet1!C364,$C$2:$C$1132,0)),"")</f>
        <v>60000</v>
      </c>
      <c r="M364" t="str">
        <f>IFERROR(INDEX($M$2:$M$1132,MATCH(B364,$B$2:$B$1132,0)),"")</f>
        <v>EXCEL, SQL, FINANCIAL MODELLING, BUDGETING</v>
      </c>
      <c r="N364" t="s">
        <v>74</v>
      </c>
      <c r="O364" t="s">
        <v>79</v>
      </c>
    </row>
    <row r="365" spans="1:15" x14ac:dyDescent="0.25">
      <c r="A365">
        <v>18213</v>
      </c>
      <c r="B365" t="s">
        <v>18</v>
      </c>
      <c r="C365" t="s">
        <v>26</v>
      </c>
      <c r="D365" t="str">
        <f>IFERROR(INDEX(Sheet2!$B$2:$B$1132,MATCH(Sheet1!C365,Sheet1!$C$2:$C$1132,0)),"IDK")</f>
        <v>FINANCE</v>
      </c>
      <c r="E365" t="s">
        <v>48</v>
      </c>
      <c r="F365" t="s">
        <v>54</v>
      </c>
      <c r="G365" s="1">
        <v>45616</v>
      </c>
      <c r="H365" t="s">
        <v>59</v>
      </c>
      <c r="I365" s="2" t="s">
        <v>164</v>
      </c>
      <c r="J365" s="2" t="s">
        <v>165</v>
      </c>
      <c r="K365">
        <f>IFERROR(INDEX(Sheet2!$C$2:$C$1132,MATCH(Sheet1!C365,Sheet1!$C$2:$C$1132,0)),"")</f>
        <v>35000</v>
      </c>
      <c r="L365">
        <f>IFERROR(INDEX(Sheet2!$D$2:$D$1132,MATCH(Sheet1!C365,$C$2:$C$1132,0)),"")</f>
        <v>75000</v>
      </c>
      <c r="M365" t="str">
        <f>IFERROR(INDEX($M$2:$M$1132,MATCH(B365,$B$2:$B$1132,0)),"")</f>
        <v>EXCEL, SQL, FINANCIAL MODELLING, BUDGETING</v>
      </c>
      <c r="N365" t="s">
        <v>74</v>
      </c>
      <c r="O365" t="s">
        <v>37</v>
      </c>
    </row>
    <row r="366" spans="1:15" x14ac:dyDescent="0.25">
      <c r="A366">
        <v>18214</v>
      </c>
      <c r="B366" t="s">
        <v>18</v>
      </c>
      <c r="C366" t="s">
        <v>27</v>
      </c>
      <c r="D366" t="str">
        <f>IFERROR(INDEX(Sheet2!$B$2:$B$1132,MATCH(Sheet1!C366,Sheet1!$C$2:$C$1132,0)),"IDK")</f>
        <v>IT</v>
      </c>
      <c r="E366" t="s">
        <v>48</v>
      </c>
      <c r="F366" t="s">
        <v>54</v>
      </c>
      <c r="G366" s="1">
        <v>45346</v>
      </c>
      <c r="H366" t="s">
        <v>59</v>
      </c>
      <c r="I366" s="2" t="s">
        <v>166</v>
      </c>
      <c r="J366" s="2" t="s">
        <v>167</v>
      </c>
      <c r="K366">
        <f>IFERROR(INDEX(Sheet2!$C$2:$C$1132,MATCH(Sheet1!C366,Sheet1!$C$2:$C$1132,0)),"")</f>
        <v>40000</v>
      </c>
      <c r="L366">
        <f>IFERROR(INDEX(Sheet2!$D$2:$D$1132,MATCH(Sheet1!C366,$C$2:$C$1132,0)),"")</f>
        <v>80000</v>
      </c>
      <c r="M366" t="str">
        <f>IFERROR(INDEX($M$2:$M$1132,MATCH(B366,$B$2:$B$1132,0)),"")</f>
        <v>EXCEL, SQL, FINANCIAL MODELLING, BUDGETING</v>
      </c>
      <c r="N366" t="s">
        <v>74</v>
      </c>
      <c r="O366" t="s">
        <v>78</v>
      </c>
    </row>
    <row r="367" spans="1:15" x14ac:dyDescent="0.25">
      <c r="A367">
        <v>18215</v>
      </c>
      <c r="B367" t="s">
        <v>18</v>
      </c>
      <c r="C367" t="s">
        <v>28</v>
      </c>
      <c r="D367" t="str">
        <f>IFERROR(INDEX(Sheet2!$B$2:$B$1132,MATCH(Sheet1!C367,Sheet1!$C$2:$C$1132,0)),"IDK")</f>
        <v>IT</v>
      </c>
      <c r="E367" t="s">
        <v>48</v>
      </c>
      <c r="F367" t="s">
        <v>54</v>
      </c>
      <c r="G367" s="1">
        <v>45514</v>
      </c>
      <c r="H367" t="s">
        <v>59</v>
      </c>
      <c r="I367" s="2" t="s">
        <v>168</v>
      </c>
      <c r="J367" s="2" t="s">
        <v>169</v>
      </c>
      <c r="K367">
        <f>IFERROR(INDEX(Sheet2!$C$2:$C$1132,MATCH(Sheet1!C367,Sheet1!$C$2:$C$1132,0)),"")</f>
        <v>30000</v>
      </c>
      <c r="L367">
        <f>IFERROR(INDEX(Sheet2!$D$2:$D$1132,MATCH(Sheet1!C367,$C$2:$C$1132,0)),"")</f>
        <v>55000</v>
      </c>
      <c r="M367" t="str">
        <f>IFERROR(INDEX($M$2:$M$1132,MATCH(B367,$B$2:$B$1132,0)),"")</f>
        <v>EXCEL, SQL, FINANCIAL MODELLING, BUDGETING</v>
      </c>
      <c r="N367" t="s">
        <v>74</v>
      </c>
      <c r="O367" t="s">
        <v>78</v>
      </c>
    </row>
    <row r="368" spans="1:15" x14ac:dyDescent="0.25">
      <c r="A368">
        <v>18216</v>
      </c>
      <c r="B368" t="s">
        <v>18</v>
      </c>
      <c r="C368" t="s">
        <v>29</v>
      </c>
      <c r="D368" t="str">
        <f>IFERROR(INDEX(Sheet2!$B$2:$B$1132,MATCH(Sheet1!C368,Sheet1!$C$2:$C$1132,0)),"IDK")</f>
        <v>IT</v>
      </c>
      <c r="E368" t="s">
        <v>48</v>
      </c>
      <c r="F368" t="s">
        <v>54</v>
      </c>
      <c r="G368" s="1">
        <v>45537</v>
      </c>
      <c r="H368" t="s">
        <v>59</v>
      </c>
      <c r="I368" s="2" t="s">
        <v>168</v>
      </c>
      <c r="J368" s="2" t="s">
        <v>170</v>
      </c>
      <c r="K368">
        <f>IFERROR(INDEX(Sheet2!$C$2:$C$1132,MATCH(Sheet1!C368,Sheet1!$C$2:$C$1132,0)),"")</f>
        <v>35000</v>
      </c>
      <c r="L368">
        <f>IFERROR(INDEX(Sheet2!$D$2:$D$1132,MATCH(Sheet1!C368,$C$2:$C$1132,0)),"")</f>
        <v>70000</v>
      </c>
      <c r="M368" t="str">
        <f>IFERROR(INDEX($M$2:$M$1132,MATCH(B368,$B$2:$B$1132,0)),"")</f>
        <v>EXCEL, SQL, FINANCIAL MODELLING, BUDGETING</v>
      </c>
      <c r="N368" t="s">
        <v>74</v>
      </c>
      <c r="O368" t="s">
        <v>79</v>
      </c>
    </row>
    <row r="369" spans="1:15" x14ac:dyDescent="0.25">
      <c r="A369">
        <v>18217</v>
      </c>
      <c r="B369" t="s">
        <v>18</v>
      </c>
      <c r="C369" t="s">
        <v>23</v>
      </c>
      <c r="D369" t="str">
        <f>IFERROR(INDEX(Sheet2!$B$2:$B$1132,MATCH(Sheet1!C369,Sheet1!$C$2:$C$1132,0)),"IDK")</f>
        <v>IT</v>
      </c>
      <c r="E369" t="s">
        <v>48</v>
      </c>
      <c r="F369" t="s">
        <v>54</v>
      </c>
      <c r="G369" s="1">
        <v>45584</v>
      </c>
      <c r="H369" t="s">
        <v>59</v>
      </c>
      <c r="I369" s="2" t="s">
        <v>171</v>
      </c>
      <c r="J369" s="2" t="s">
        <v>172</v>
      </c>
      <c r="K369">
        <f>IFERROR(INDEX(Sheet2!$C$2:$C$1132,MATCH(Sheet1!C369,Sheet1!$C$2:$C$1132,0)),"")</f>
        <v>35000</v>
      </c>
      <c r="L369">
        <f>IFERROR(INDEX(Sheet2!$D$2:$D$1132,MATCH(Sheet1!C369,$C$2:$C$1132,0)),"")</f>
        <v>70000</v>
      </c>
      <c r="M369" t="str">
        <f>IFERROR(INDEX($M$2:$M$1132,MATCH(B369,$B$2:$B$1132,0)),"")</f>
        <v>EXCEL, SQL, FINANCIAL MODELLING, BUDGETING</v>
      </c>
      <c r="N369" t="s">
        <v>74</v>
      </c>
      <c r="O369" t="s">
        <v>80</v>
      </c>
    </row>
    <row r="370" spans="1:15" x14ac:dyDescent="0.25">
      <c r="A370">
        <v>18218</v>
      </c>
      <c r="B370" t="s">
        <v>18</v>
      </c>
      <c r="C370" t="s">
        <v>30</v>
      </c>
      <c r="D370" t="str">
        <f>IFERROR(INDEX(Sheet2!$B$2:$B$1132,MATCH(Sheet1!C370,Sheet1!$C$2:$C$1132,0)),"IDK")</f>
        <v>IT</v>
      </c>
      <c r="E370" t="s">
        <v>48</v>
      </c>
      <c r="F370" t="s">
        <v>54</v>
      </c>
      <c r="G370" s="1">
        <v>45610</v>
      </c>
      <c r="H370" t="s">
        <v>59</v>
      </c>
      <c r="I370" s="2" t="s">
        <v>161</v>
      </c>
      <c r="J370" s="2" t="s">
        <v>162</v>
      </c>
      <c r="K370">
        <f>IFERROR(INDEX(Sheet2!$C$2:$C$1132,MATCH(Sheet1!C370,Sheet1!$C$2:$C$1132,0)),"")</f>
        <v>25000</v>
      </c>
      <c r="L370">
        <f>IFERROR(INDEX(Sheet2!$D$2:$D$1132,MATCH(Sheet1!C370,$C$2:$C$1132,0)),"")</f>
        <v>60000</v>
      </c>
      <c r="M370" t="str">
        <f>IFERROR(INDEX($M$2:$M$1132,MATCH(B370,$B$2:$B$1132,0)),"")</f>
        <v>EXCEL, SQL, FINANCIAL MODELLING, BUDGETING</v>
      </c>
      <c r="N370" t="s">
        <v>74</v>
      </c>
      <c r="O370" t="s">
        <v>77</v>
      </c>
    </row>
    <row r="371" spans="1:15" x14ac:dyDescent="0.25">
      <c r="A371">
        <v>18219</v>
      </c>
      <c r="B371" t="s">
        <v>18</v>
      </c>
      <c r="C371" t="s">
        <v>31</v>
      </c>
      <c r="D371" t="str">
        <f>IFERROR(INDEX(Sheet2!$B$2:$B$1132,MATCH(Sheet1!C371,Sheet1!$C$2:$C$1132,0)),"IDK")</f>
        <v>IT</v>
      </c>
      <c r="E371" t="s">
        <v>48</v>
      </c>
      <c r="F371" t="s">
        <v>54</v>
      </c>
      <c r="G371" s="1">
        <v>45650</v>
      </c>
      <c r="H371" t="s">
        <v>59</v>
      </c>
      <c r="I371" s="2" t="s">
        <v>161</v>
      </c>
      <c r="J371" s="2" t="s">
        <v>163</v>
      </c>
      <c r="K371">
        <f>IFERROR(INDEX(Sheet2!$C$2:$C$1132,MATCH(Sheet1!C371,Sheet1!$C$2:$C$1132,0)),"")</f>
        <v>25000</v>
      </c>
      <c r="L371">
        <f>IFERROR(INDEX(Sheet2!$D$2:$D$1132,MATCH(Sheet1!C371,$C$2:$C$1132,0)),"")</f>
        <v>75000</v>
      </c>
      <c r="M371" t="str">
        <f>IFERROR(INDEX($M$2:$M$1132,MATCH(B371,$B$2:$B$1132,0)),"")</f>
        <v>EXCEL, SQL, FINANCIAL MODELLING, BUDGETING</v>
      </c>
      <c r="N371" t="s">
        <v>74</v>
      </c>
      <c r="O371" t="s">
        <v>79</v>
      </c>
    </row>
    <row r="372" spans="1:15" x14ac:dyDescent="0.25">
      <c r="A372">
        <v>18220</v>
      </c>
      <c r="B372" t="s">
        <v>18</v>
      </c>
      <c r="C372" t="s">
        <v>32</v>
      </c>
      <c r="D372" t="str">
        <f>IFERROR(INDEX(Sheet2!$B$2:$B$1132,MATCH(Sheet1!C372,Sheet1!$C$2:$C$1132,0)),"IDK")</f>
        <v>SOCIAL</v>
      </c>
      <c r="E372" t="s">
        <v>48</v>
      </c>
      <c r="F372" t="s">
        <v>54</v>
      </c>
      <c r="G372" s="1">
        <v>45596</v>
      </c>
      <c r="H372" t="s">
        <v>59</v>
      </c>
      <c r="I372" s="2" t="s">
        <v>164</v>
      </c>
      <c r="J372" s="2" t="s">
        <v>165</v>
      </c>
      <c r="K372">
        <f>IFERROR(INDEX(Sheet2!$C$2:$C$1132,MATCH(Sheet1!C372,Sheet1!$C$2:$C$1132,0)),"")</f>
        <v>20000</v>
      </c>
      <c r="L372">
        <f>IFERROR(INDEX(Sheet2!$D$2:$D$1132,MATCH(Sheet1!C372,$C$2:$C$1132,0)),"")</f>
        <v>70000</v>
      </c>
      <c r="M372" t="str">
        <f>IFERROR(INDEX($M$2:$M$1132,MATCH(B372,$B$2:$B$1132,0)),"")</f>
        <v>EXCEL, SQL, FINANCIAL MODELLING, BUDGETING</v>
      </c>
      <c r="N372" t="s">
        <v>74</v>
      </c>
      <c r="O372" t="s">
        <v>37</v>
      </c>
    </row>
    <row r="373" spans="1:15" x14ac:dyDescent="0.25">
      <c r="A373">
        <v>18221</v>
      </c>
      <c r="B373" t="s">
        <v>18</v>
      </c>
      <c r="C373" t="s">
        <v>33</v>
      </c>
      <c r="D373" t="str">
        <f>IFERROR(INDEX(Sheet2!$B$2:$B$1132,MATCH(Sheet1!C373,Sheet1!$C$2:$C$1132,0)),"IDK")</f>
        <v>FINANCE</v>
      </c>
      <c r="E373" t="s">
        <v>48</v>
      </c>
      <c r="F373" t="s">
        <v>54</v>
      </c>
      <c r="G373" s="1">
        <v>45475</v>
      </c>
      <c r="H373" t="s">
        <v>59</v>
      </c>
      <c r="I373" s="2" t="s">
        <v>166</v>
      </c>
      <c r="J373" s="2" t="s">
        <v>167</v>
      </c>
      <c r="K373">
        <f>IFERROR(INDEX(Sheet2!$C$2:$C$1132,MATCH(Sheet1!C373,Sheet1!$C$2:$C$1132,0)),"")</f>
        <v>40000</v>
      </c>
      <c r="L373">
        <f>IFERROR(INDEX(Sheet2!$D$2:$D$1132,MATCH(Sheet1!C373,$C$2:$C$1132,0)),"")</f>
        <v>85000</v>
      </c>
      <c r="M373" t="str">
        <f>IFERROR(INDEX($M$2:$M$1132,MATCH(B373,$B$2:$B$1132,0)),"")</f>
        <v>EXCEL, SQL, FINANCIAL MODELLING, BUDGETING</v>
      </c>
      <c r="N373" t="s">
        <v>74</v>
      </c>
      <c r="O373" t="s">
        <v>78</v>
      </c>
    </row>
    <row r="374" spans="1:15" x14ac:dyDescent="0.25">
      <c r="A374">
        <v>18222</v>
      </c>
      <c r="B374" t="s">
        <v>18</v>
      </c>
      <c r="C374" t="s">
        <v>24</v>
      </c>
      <c r="D374" t="str">
        <f>IFERROR(INDEX(Sheet2!$B$2:$B$1132,MATCH(Sheet1!C374,Sheet1!$C$2:$C$1132,0)),"IDK")</f>
        <v>HEALTH</v>
      </c>
      <c r="E374" t="s">
        <v>48</v>
      </c>
      <c r="F374" t="s">
        <v>54</v>
      </c>
      <c r="G374" s="1">
        <v>45645</v>
      </c>
      <c r="H374" t="s">
        <v>59</v>
      </c>
      <c r="I374" s="2" t="s">
        <v>168</v>
      </c>
      <c r="J374" s="2" t="s">
        <v>169</v>
      </c>
      <c r="K374">
        <f>IFERROR(INDEX(Sheet2!$C$2:$C$1132,MATCH(Sheet1!C374,Sheet1!$C$2:$C$1132,0)),"")</f>
        <v>25000</v>
      </c>
      <c r="L374">
        <f>IFERROR(INDEX(Sheet2!$D$2:$D$1132,MATCH(Sheet1!C374,$C$2:$C$1132,0)),"")</f>
        <v>50000</v>
      </c>
      <c r="M374" t="str">
        <f>IFERROR(INDEX($M$2:$M$1132,MATCH(B374,$B$2:$B$1132,0)),"")</f>
        <v>EXCEL, SQL, FINANCIAL MODELLING, BUDGETING</v>
      </c>
      <c r="N374" t="s">
        <v>74</v>
      </c>
      <c r="O374" t="s">
        <v>80</v>
      </c>
    </row>
    <row r="375" spans="1:15" x14ac:dyDescent="0.25">
      <c r="A375">
        <v>18223</v>
      </c>
      <c r="B375" t="s">
        <v>18</v>
      </c>
      <c r="C375" t="s">
        <v>25</v>
      </c>
      <c r="D375" t="str">
        <f>IFERROR(INDEX(Sheet2!$B$2:$B$1132,MATCH(Sheet1!C375,Sheet1!$C$2:$C$1132,0)),"IDK")</f>
        <v>SOCIAL</v>
      </c>
      <c r="E375" t="s">
        <v>48</v>
      </c>
      <c r="F375" t="s">
        <v>54</v>
      </c>
      <c r="G375" s="1">
        <v>45347</v>
      </c>
      <c r="H375" t="s">
        <v>59</v>
      </c>
      <c r="I375" s="2" t="s">
        <v>168</v>
      </c>
      <c r="J375" s="2" t="s">
        <v>170</v>
      </c>
      <c r="K375">
        <f>IFERROR(INDEX(Sheet2!$C$2:$C$1132,MATCH(Sheet1!C375,Sheet1!$C$2:$C$1132,0)),"")</f>
        <v>30000</v>
      </c>
      <c r="L375">
        <f>IFERROR(INDEX(Sheet2!$D$2:$D$1132,MATCH(Sheet1!C375,$C$2:$C$1132,0)),"")</f>
        <v>60000</v>
      </c>
      <c r="M375" t="str">
        <f>IFERROR(INDEX($M$2:$M$1132,MATCH(B375,$B$2:$B$1132,0)),"")</f>
        <v>EXCEL, SQL, FINANCIAL MODELLING, BUDGETING</v>
      </c>
      <c r="N375" t="s">
        <v>74</v>
      </c>
      <c r="O375" t="s">
        <v>79</v>
      </c>
    </row>
    <row r="376" spans="1:15" x14ac:dyDescent="0.25">
      <c r="A376">
        <v>18224</v>
      </c>
      <c r="B376" t="s">
        <v>18</v>
      </c>
      <c r="C376" t="s">
        <v>26</v>
      </c>
      <c r="D376" t="str">
        <f>IFERROR(INDEX(Sheet2!$B$2:$B$1132,MATCH(Sheet1!C376,Sheet1!$C$2:$C$1132,0)),"IDK")</f>
        <v>FINANCE</v>
      </c>
      <c r="E376" t="s">
        <v>48</v>
      </c>
      <c r="F376" t="s">
        <v>54</v>
      </c>
      <c r="G376" s="1">
        <v>45345</v>
      </c>
      <c r="H376" t="s">
        <v>59</v>
      </c>
      <c r="I376" s="2" t="s">
        <v>171</v>
      </c>
      <c r="J376" s="2" t="s">
        <v>172</v>
      </c>
      <c r="K376">
        <f>IFERROR(INDEX(Sheet2!$C$2:$C$1132,MATCH(Sheet1!C376,Sheet1!$C$2:$C$1132,0)),"")</f>
        <v>35000</v>
      </c>
      <c r="L376">
        <f>IFERROR(INDEX(Sheet2!$D$2:$D$1132,MATCH(Sheet1!C376,$C$2:$C$1132,0)),"")</f>
        <v>75000</v>
      </c>
      <c r="M376" t="str">
        <f>IFERROR(INDEX($M$2:$M$1132,MATCH(B376,$B$2:$B$1132,0)),"")</f>
        <v>EXCEL, SQL, FINANCIAL MODELLING, BUDGETING</v>
      </c>
      <c r="N376" t="s">
        <v>74</v>
      </c>
      <c r="O376" t="s">
        <v>37</v>
      </c>
    </row>
    <row r="377" spans="1:15" x14ac:dyDescent="0.25">
      <c r="A377">
        <v>18225</v>
      </c>
      <c r="B377" t="s">
        <v>18</v>
      </c>
      <c r="C377" t="s">
        <v>27</v>
      </c>
      <c r="D377" t="str">
        <f>IFERROR(INDEX(Sheet2!$B$2:$B$1132,MATCH(Sheet1!C377,Sheet1!$C$2:$C$1132,0)),"IDK")</f>
        <v>IT</v>
      </c>
      <c r="E377" t="s">
        <v>48</v>
      </c>
      <c r="F377" t="s">
        <v>54</v>
      </c>
      <c r="G377" s="1">
        <v>45382</v>
      </c>
      <c r="H377" t="s">
        <v>59</v>
      </c>
      <c r="I377" s="2" t="s">
        <v>161</v>
      </c>
      <c r="J377" s="2" t="s">
        <v>162</v>
      </c>
      <c r="K377">
        <f>IFERROR(INDEX(Sheet2!$C$2:$C$1132,MATCH(Sheet1!C377,Sheet1!$C$2:$C$1132,0)),"")</f>
        <v>40000</v>
      </c>
      <c r="L377">
        <f>IFERROR(INDEX(Sheet2!$D$2:$D$1132,MATCH(Sheet1!C377,$C$2:$C$1132,0)),"")</f>
        <v>80000</v>
      </c>
      <c r="M377" t="str">
        <f>IFERROR(INDEX($M$2:$M$1132,MATCH(B377,$B$2:$B$1132,0)),"")</f>
        <v>EXCEL, SQL, FINANCIAL MODELLING, BUDGETING</v>
      </c>
      <c r="N377" t="s">
        <v>74</v>
      </c>
      <c r="O377" t="s">
        <v>78</v>
      </c>
    </row>
    <row r="378" spans="1:15" x14ac:dyDescent="0.25">
      <c r="A378">
        <v>18226</v>
      </c>
      <c r="B378" t="s">
        <v>18</v>
      </c>
      <c r="C378" t="s">
        <v>28</v>
      </c>
      <c r="D378" t="str">
        <f>IFERROR(INDEX(Sheet2!$B$2:$B$1132,MATCH(Sheet1!C378,Sheet1!$C$2:$C$1132,0)),"IDK")</f>
        <v>IT</v>
      </c>
      <c r="E378" t="s">
        <v>48</v>
      </c>
      <c r="F378" t="s">
        <v>54</v>
      </c>
      <c r="G378" s="1">
        <v>45562</v>
      </c>
      <c r="H378" t="s">
        <v>59</v>
      </c>
      <c r="I378" s="2" t="s">
        <v>161</v>
      </c>
      <c r="J378" s="2" t="s">
        <v>163</v>
      </c>
      <c r="K378">
        <f>IFERROR(INDEX(Sheet2!$C$2:$C$1132,MATCH(Sheet1!C378,Sheet1!$C$2:$C$1132,0)),"")</f>
        <v>30000</v>
      </c>
      <c r="L378">
        <f>IFERROR(INDEX(Sheet2!$D$2:$D$1132,MATCH(Sheet1!C378,$C$2:$C$1132,0)),"")</f>
        <v>55000</v>
      </c>
      <c r="M378" t="str">
        <f>IFERROR(INDEX($M$2:$M$1132,MATCH(B378,$B$2:$B$1132,0)),"")</f>
        <v>EXCEL, SQL, FINANCIAL MODELLING, BUDGETING</v>
      </c>
      <c r="N378" t="s">
        <v>74</v>
      </c>
      <c r="O378" t="s">
        <v>79</v>
      </c>
    </row>
    <row r="379" spans="1:15" x14ac:dyDescent="0.25">
      <c r="A379">
        <v>18227</v>
      </c>
      <c r="B379" t="s">
        <v>18</v>
      </c>
      <c r="C379" t="s">
        <v>29</v>
      </c>
      <c r="D379" t="str">
        <f>IFERROR(INDEX(Sheet2!$B$2:$B$1132,MATCH(Sheet1!C379,Sheet1!$C$2:$C$1132,0)),"IDK")</f>
        <v>IT</v>
      </c>
      <c r="E379" t="s">
        <v>48</v>
      </c>
      <c r="F379" t="s">
        <v>54</v>
      </c>
      <c r="G379" s="1">
        <v>45351</v>
      </c>
      <c r="H379" t="s">
        <v>59</v>
      </c>
      <c r="I379" s="2" t="s">
        <v>164</v>
      </c>
      <c r="J379" s="2" t="s">
        <v>165</v>
      </c>
      <c r="K379">
        <f>IFERROR(INDEX(Sheet2!$C$2:$C$1132,MATCH(Sheet1!C379,Sheet1!$C$2:$C$1132,0)),"")</f>
        <v>35000</v>
      </c>
      <c r="L379">
        <f>IFERROR(INDEX(Sheet2!$D$2:$D$1132,MATCH(Sheet1!C379,$C$2:$C$1132,0)),"")</f>
        <v>70000</v>
      </c>
      <c r="M379" t="str">
        <f>IFERROR(INDEX($M$2:$M$1132,MATCH(B379,$B$2:$B$1132,0)),"")</f>
        <v>EXCEL, SQL, FINANCIAL MODELLING, BUDGETING</v>
      </c>
      <c r="N379" t="s">
        <v>74</v>
      </c>
      <c r="O379" t="s">
        <v>80</v>
      </c>
    </row>
    <row r="380" spans="1:15" x14ac:dyDescent="0.25">
      <c r="A380">
        <v>18228</v>
      </c>
      <c r="B380" t="s">
        <v>18</v>
      </c>
      <c r="C380" t="s">
        <v>23</v>
      </c>
      <c r="D380" t="str">
        <f>IFERROR(INDEX(Sheet2!$B$2:$B$1132,MATCH(Sheet1!C380,Sheet1!$C$2:$C$1132,0)),"IDK")</f>
        <v>IT</v>
      </c>
      <c r="E380" t="s">
        <v>48</v>
      </c>
      <c r="F380" t="s">
        <v>54</v>
      </c>
      <c r="G380" s="1">
        <v>45345</v>
      </c>
      <c r="H380" t="s">
        <v>59</v>
      </c>
      <c r="I380" s="2" t="s">
        <v>168</v>
      </c>
      <c r="J380" s="2" t="s">
        <v>170</v>
      </c>
      <c r="K380">
        <f>IFERROR(INDEX(Sheet2!$C$2:$C$1132,MATCH(Sheet1!C380,Sheet1!$C$2:$C$1132,0)),"")</f>
        <v>35000</v>
      </c>
      <c r="L380">
        <f>IFERROR(INDEX(Sheet2!$D$2:$D$1132,MATCH(Sheet1!C380,$C$2:$C$1132,0)),"")</f>
        <v>70000</v>
      </c>
      <c r="M380" t="str">
        <f>IFERROR(INDEX($M$2:$M$1132,MATCH(B380,$B$2:$B$1132,0)),"")</f>
        <v>EXCEL, SQL, FINANCIAL MODELLING, BUDGETING</v>
      </c>
      <c r="N380" t="s">
        <v>76</v>
      </c>
      <c r="O380" t="s">
        <v>77</v>
      </c>
    </row>
    <row r="381" spans="1:15" x14ac:dyDescent="0.25">
      <c r="A381">
        <v>18229</v>
      </c>
      <c r="B381" t="s">
        <v>18</v>
      </c>
      <c r="C381" t="s">
        <v>30</v>
      </c>
      <c r="D381" t="str">
        <f>IFERROR(INDEX(Sheet2!$B$2:$B$1132,MATCH(Sheet1!C381,Sheet1!$C$2:$C$1132,0)),"IDK")</f>
        <v>IT</v>
      </c>
      <c r="E381" t="s">
        <v>48</v>
      </c>
      <c r="F381" t="s">
        <v>54</v>
      </c>
      <c r="G381" s="1">
        <v>45349</v>
      </c>
      <c r="H381" t="s">
        <v>59</v>
      </c>
      <c r="I381" s="2" t="s">
        <v>171</v>
      </c>
      <c r="J381" s="2" t="s">
        <v>172</v>
      </c>
      <c r="K381">
        <f>IFERROR(INDEX(Sheet2!$C$2:$C$1132,MATCH(Sheet1!C381,Sheet1!$C$2:$C$1132,0)),"")</f>
        <v>25000</v>
      </c>
      <c r="L381">
        <f>IFERROR(INDEX(Sheet2!$D$2:$D$1132,MATCH(Sheet1!C381,$C$2:$C$1132,0)),"")</f>
        <v>60000</v>
      </c>
      <c r="M381" t="str">
        <f>IFERROR(INDEX($M$2:$M$1132,MATCH(B381,$B$2:$B$1132,0)),"")</f>
        <v>EXCEL, SQL, FINANCIAL MODELLING, BUDGETING</v>
      </c>
      <c r="N381" t="s">
        <v>76</v>
      </c>
      <c r="O381" t="s">
        <v>79</v>
      </c>
    </row>
    <row r="382" spans="1:15" x14ac:dyDescent="0.25">
      <c r="A382">
        <v>18230</v>
      </c>
      <c r="B382" t="s">
        <v>18</v>
      </c>
      <c r="C382" t="s">
        <v>31</v>
      </c>
      <c r="D382" t="str">
        <f>IFERROR(INDEX(Sheet2!$B$2:$B$1132,MATCH(Sheet1!C382,Sheet1!$C$2:$C$1132,0)),"IDK")</f>
        <v>IT</v>
      </c>
      <c r="E382" t="s">
        <v>48</v>
      </c>
      <c r="F382" t="s">
        <v>54</v>
      </c>
      <c r="G382" s="1">
        <v>45370</v>
      </c>
      <c r="H382" t="s">
        <v>59</v>
      </c>
      <c r="I382" s="2" t="s">
        <v>161</v>
      </c>
      <c r="J382" s="2" t="s">
        <v>162</v>
      </c>
      <c r="K382">
        <f>IFERROR(INDEX(Sheet2!$C$2:$C$1132,MATCH(Sheet1!C382,Sheet1!$C$2:$C$1132,0)),"")</f>
        <v>25000</v>
      </c>
      <c r="L382">
        <f>IFERROR(INDEX(Sheet2!$D$2:$D$1132,MATCH(Sheet1!C382,$C$2:$C$1132,0)),"")</f>
        <v>75000</v>
      </c>
      <c r="M382" t="str">
        <f>IFERROR(INDEX($M$2:$M$1132,MATCH(B382,$B$2:$B$1132,0)),"")</f>
        <v>EXCEL, SQL, FINANCIAL MODELLING, BUDGETING</v>
      </c>
      <c r="N382" t="s">
        <v>76</v>
      </c>
      <c r="O382" t="s">
        <v>37</v>
      </c>
    </row>
    <row r="383" spans="1:15" x14ac:dyDescent="0.25">
      <c r="A383">
        <v>18231</v>
      </c>
      <c r="B383" t="s">
        <v>18</v>
      </c>
      <c r="C383" t="s">
        <v>32</v>
      </c>
      <c r="D383" t="str">
        <f>IFERROR(INDEX(Sheet2!$B$2:$B$1132,MATCH(Sheet1!C383,Sheet1!$C$2:$C$1132,0)),"IDK")</f>
        <v>SOCIAL</v>
      </c>
      <c r="E383" t="s">
        <v>48</v>
      </c>
      <c r="F383" t="s">
        <v>54</v>
      </c>
      <c r="G383" s="1">
        <v>45446</v>
      </c>
      <c r="H383" t="s">
        <v>59</v>
      </c>
      <c r="I383" s="2" t="s">
        <v>161</v>
      </c>
      <c r="J383" s="2" t="s">
        <v>163</v>
      </c>
      <c r="K383">
        <f>IFERROR(INDEX(Sheet2!$C$2:$C$1132,MATCH(Sheet1!C383,Sheet1!$C$2:$C$1132,0)),"")</f>
        <v>20000</v>
      </c>
      <c r="L383">
        <f>IFERROR(INDEX(Sheet2!$D$2:$D$1132,MATCH(Sheet1!C383,$C$2:$C$1132,0)),"")</f>
        <v>70000</v>
      </c>
      <c r="M383" t="str">
        <f>IFERROR(INDEX($M$2:$M$1132,MATCH(B383,$B$2:$B$1132,0)),"")</f>
        <v>EXCEL, SQL, FINANCIAL MODELLING, BUDGETING</v>
      </c>
      <c r="N383" t="s">
        <v>76</v>
      </c>
      <c r="O383" t="s">
        <v>78</v>
      </c>
    </row>
    <row r="384" spans="1:15" x14ac:dyDescent="0.25">
      <c r="A384">
        <v>18232</v>
      </c>
      <c r="B384" t="s">
        <v>18</v>
      </c>
      <c r="C384" t="s">
        <v>33</v>
      </c>
      <c r="D384" t="str">
        <f>IFERROR(INDEX(Sheet2!$B$2:$B$1132,MATCH(Sheet1!C384,Sheet1!$C$2:$C$1132,0)),"IDK")</f>
        <v>FINANCE</v>
      </c>
      <c r="E384" t="s">
        <v>48</v>
      </c>
      <c r="F384" t="s">
        <v>54</v>
      </c>
      <c r="G384" s="1">
        <v>45486</v>
      </c>
      <c r="H384" t="s">
        <v>59</v>
      </c>
      <c r="I384" s="2" t="s">
        <v>164</v>
      </c>
      <c r="J384" s="2" t="s">
        <v>165</v>
      </c>
      <c r="K384">
        <f>IFERROR(INDEX(Sheet2!$C$2:$C$1132,MATCH(Sheet1!C384,Sheet1!$C$2:$C$1132,0)),"")</f>
        <v>40000</v>
      </c>
      <c r="L384">
        <f>IFERROR(INDEX(Sheet2!$D$2:$D$1132,MATCH(Sheet1!C384,$C$2:$C$1132,0)),"")</f>
        <v>85000</v>
      </c>
      <c r="M384" t="str">
        <f>IFERROR(INDEX($M$2:$M$1132,MATCH(B384,$B$2:$B$1132,0)),"")</f>
        <v>EXCEL, SQL, FINANCIAL MODELLING, BUDGETING</v>
      </c>
      <c r="N384" t="s">
        <v>76</v>
      </c>
      <c r="O384" t="s">
        <v>80</v>
      </c>
    </row>
    <row r="385" spans="1:15" x14ac:dyDescent="0.25">
      <c r="A385">
        <v>18233</v>
      </c>
      <c r="B385" t="s">
        <v>18</v>
      </c>
      <c r="C385" t="s">
        <v>34</v>
      </c>
      <c r="D385" t="str">
        <f>IFERROR(INDEX(Sheet2!$B$2:$B$1132,MATCH(Sheet1!C385,Sheet1!$C$2:$C$1132,0)),"IDK")</f>
        <v>IT</v>
      </c>
      <c r="E385" t="s">
        <v>48</v>
      </c>
      <c r="F385" t="s">
        <v>54</v>
      </c>
      <c r="G385" s="1">
        <v>45576</v>
      </c>
      <c r="H385" t="s">
        <v>59</v>
      </c>
      <c r="I385" s="2" t="s">
        <v>166</v>
      </c>
      <c r="J385" s="2" t="s">
        <v>167</v>
      </c>
      <c r="K385">
        <f>IFERROR(INDEX(Sheet2!$C$2:$C$1132,MATCH(Sheet1!C385,Sheet1!$C$2:$C$1132,0)),"")</f>
        <v>35000</v>
      </c>
      <c r="L385">
        <f>IFERROR(INDEX(Sheet2!$D$2:$D$1132,MATCH(Sheet1!C385,$C$2:$C$1132,0)),"")</f>
        <v>90000</v>
      </c>
      <c r="M385" t="str">
        <f>IFERROR(INDEX($M$2:$M$1132,MATCH(B385,$B$2:$B$1132,0)),"")</f>
        <v>EXCEL, SQL, FINANCIAL MODELLING, BUDGETING</v>
      </c>
      <c r="N385" t="s">
        <v>76</v>
      </c>
      <c r="O385" t="s">
        <v>79</v>
      </c>
    </row>
    <row r="386" spans="1:15" x14ac:dyDescent="0.25">
      <c r="A386">
        <v>18234</v>
      </c>
      <c r="B386" t="s">
        <v>18</v>
      </c>
      <c r="C386" t="s">
        <v>35</v>
      </c>
      <c r="D386" t="str">
        <f>IFERROR(INDEX(Sheet2!$B$2:$B$1132,MATCH(Sheet1!C386,Sheet1!$C$2:$C$1132,0)),"IDK")</f>
        <v>SOCIAL</v>
      </c>
      <c r="E386" t="s">
        <v>48</v>
      </c>
      <c r="F386" t="s">
        <v>54</v>
      </c>
      <c r="G386" s="1">
        <v>45504</v>
      </c>
      <c r="H386" t="s">
        <v>59</v>
      </c>
      <c r="I386" s="2" t="s">
        <v>168</v>
      </c>
      <c r="J386" s="2" t="s">
        <v>169</v>
      </c>
      <c r="K386">
        <f>IFERROR(INDEX(Sheet2!$C$2:$C$1132,MATCH(Sheet1!C386,Sheet1!$C$2:$C$1132,0)),"")</f>
        <v>30000</v>
      </c>
      <c r="L386">
        <f>IFERROR(INDEX(Sheet2!$D$2:$D$1132,MATCH(Sheet1!C386,$C$2:$C$1132,0)),"")</f>
        <v>95000</v>
      </c>
      <c r="M386" t="str">
        <f>IFERROR(INDEX($M$2:$M$1132,MATCH(B386,$B$2:$B$1132,0)),"")</f>
        <v>EXCEL, SQL, FINANCIAL MODELLING, BUDGETING</v>
      </c>
      <c r="N386" t="s">
        <v>76</v>
      </c>
      <c r="O386" t="s">
        <v>37</v>
      </c>
    </row>
    <row r="387" spans="1:15" x14ac:dyDescent="0.25">
      <c r="A387">
        <v>18235</v>
      </c>
      <c r="B387" t="s">
        <v>18</v>
      </c>
      <c r="C387" t="s">
        <v>36</v>
      </c>
      <c r="D387" t="str">
        <f>IFERROR(INDEX(Sheet2!$B$2:$B$1132,MATCH(Sheet1!C387,Sheet1!$C$2:$C$1132,0)),"IDK")</f>
        <v>IT</v>
      </c>
      <c r="E387" t="s">
        <v>48</v>
      </c>
      <c r="F387" t="s">
        <v>54</v>
      </c>
      <c r="G387" s="1">
        <v>45618</v>
      </c>
      <c r="H387" t="s">
        <v>59</v>
      </c>
      <c r="I387" s="2" t="s">
        <v>168</v>
      </c>
      <c r="J387" s="2" t="s">
        <v>170</v>
      </c>
      <c r="K387">
        <f>IFERROR(INDEX(Sheet2!$C$2:$C$1132,MATCH(Sheet1!C387,Sheet1!$C$2:$C$1132,0)),"")</f>
        <v>50000</v>
      </c>
      <c r="L387">
        <f>IFERROR(INDEX(Sheet2!$D$2:$D$1132,MATCH(Sheet1!C387,$C$2:$C$1132,0)),"")</f>
        <v>100000</v>
      </c>
      <c r="M387" t="str">
        <f>IFERROR(INDEX($M$2:$M$1132,MATCH(B387,$B$2:$B$1132,0)),"")</f>
        <v>EXCEL, SQL, FINANCIAL MODELLING, BUDGETING</v>
      </c>
      <c r="N387" t="s">
        <v>76</v>
      </c>
      <c r="O387" t="s">
        <v>78</v>
      </c>
    </row>
    <row r="388" spans="1:15" x14ac:dyDescent="0.25">
      <c r="A388">
        <v>18236</v>
      </c>
      <c r="B388" t="s">
        <v>15</v>
      </c>
      <c r="C388" t="s">
        <v>27</v>
      </c>
      <c r="D388" t="str">
        <f>IFERROR(INDEX(Sheet2!$B$2:$B$1132,MATCH(Sheet1!C388,Sheet1!$C$2:$C$1132,0)),"IDK")</f>
        <v>IT</v>
      </c>
      <c r="E388" t="s">
        <v>48</v>
      </c>
      <c r="F388" t="s">
        <v>54</v>
      </c>
      <c r="G388" s="1">
        <v>45454</v>
      </c>
      <c r="H388" t="s">
        <v>59</v>
      </c>
      <c r="I388" s="2" t="s">
        <v>171</v>
      </c>
      <c r="J388" s="2" t="s">
        <v>172</v>
      </c>
      <c r="K388">
        <f>IFERROR(INDEX(Sheet2!$C$2:$C$1132,MATCH(Sheet1!C388,Sheet1!$C$2:$C$1132,0)),"")</f>
        <v>40000</v>
      </c>
      <c r="L388">
        <f>IFERROR(INDEX(Sheet2!$D$2:$D$1132,MATCH(Sheet1!C388,$C$2:$C$1132,0)),"")</f>
        <v>80000</v>
      </c>
      <c r="M388" t="str">
        <f>IFERROR(INDEX($M$2:$M$1132,MATCH(B388,$B$2:$B$1132,0)),"")</f>
        <v>SQL, PYTHON, AWS, SPARK, ETL</v>
      </c>
      <c r="N388" t="s">
        <v>76</v>
      </c>
      <c r="O388" t="s">
        <v>79</v>
      </c>
    </row>
    <row r="389" spans="1:15" x14ac:dyDescent="0.25">
      <c r="A389">
        <v>18237</v>
      </c>
      <c r="B389" t="s">
        <v>15</v>
      </c>
      <c r="C389" t="s">
        <v>28</v>
      </c>
      <c r="D389" t="str">
        <f>IFERROR(INDEX(Sheet2!$B$2:$B$1132,MATCH(Sheet1!C389,Sheet1!$C$2:$C$1132,0)),"IDK")</f>
        <v>IT</v>
      </c>
      <c r="E389" t="s">
        <v>48</v>
      </c>
      <c r="F389" t="s">
        <v>54</v>
      </c>
      <c r="G389" s="1">
        <v>45556</v>
      </c>
      <c r="H389" t="s">
        <v>59</v>
      </c>
      <c r="I389" s="2" t="s">
        <v>161</v>
      </c>
      <c r="J389" s="2" t="s">
        <v>162</v>
      </c>
      <c r="K389">
        <f>IFERROR(INDEX(Sheet2!$C$2:$C$1132,MATCH(Sheet1!C389,Sheet1!$C$2:$C$1132,0)),"")</f>
        <v>30000</v>
      </c>
      <c r="L389">
        <f>IFERROR(INDEX(Sheet2!$D$2:$D$1132,MATCH(Sheet1!C389,$C$2:$C$1132,0)),"")</f>
        <v>55000</v>
      </c>
      <c r="M389" t="str">
        <f>IFERROR(INDEX($M$2:$M$1132,MATCH(B389,$B$2:$B$1132,0)),"")</f>
        <v>SQL, PYTHON, AWS, SPARK, ETL</v>
      </c>
      <c r="N389" t="s">
        <v>76</v>
      </c>
      <c r="O389" t="s">
        <v>80</v>
      </c>
    </row>
    <row r="390" spans="1:15" x14ac:dyDescent="0.25">
      <c r="A390">
        <v>18238</v>
      </c>
      <c r="B390" t="s">
        <v>15</v>
      </c>
      <c r="C390" t="s">
        <v>29</v>
      </c>
      <c r="D390" t="str">
        <f>IFERROR(INDEX(Sheet2!$B$2:$B$1132,MATCH(Sheet1!C390,Sheet1!$C$2:$C$1132,0)),"IDK")</f>
        <v>IT</v>
      </c>
      <c r="E390" t="s">
        <v>48</v>
      </c>
      <c r="F390" t="s">
        <v>54</v>
      </c>
      <c r="G390" s="1">
        <v>45541</v>
      </c>
      <c r="H390" t="s">
        <v>59</v>
      </c>
      <c r="I390" s="2" t="s">
        <v>161</v>
      </c>
      <c r="J390" s="2" t="s">
        <v>163</v>
      </c>
      <c r="K390">
        <f>IFERROR(INDEX(Sheet2!$C$2:$C$1132,MATCH(Sheet1!C390,Sheet1!$C$2:$C$1132,0)),"")</f>
        <v>35000</v>
      </c>
      <c r="L390">
        <f>IFERROR(INDEX(Sheet2!$D$2:$D$1132,MATCH(Sheet1!C390,$C$2:$C$1132,0)),"")</f>
        <v>70000</v>
      </c>
      <c r="M390" t="str">
        <f>IFERROR(INDEX($M$2:$M$1132,MATCH(B390,$B$2:$B$1132,0)),"")</f>
        <v>SQL, PYTHON, AWS, SPARK, ETL</v>
      </c>
      <c r="N390" t="s">
        <v>76</v>
      </c>
      <c r="O390" t="s">
        <v>77</v>
      </c>
    </row>
    <row r="391" spans="1:15" x14ac:dyDescent="0.25">
      <c r="A391">
        <v>18239</v>
      </c>
      <c r="B391" t="s">
        <v>15</v>
      </c>
      <c r="C391" t="s">
        <v>23</v>
      </c>
      <c r="D391" t="str">
        <f>IFERROR(INDEX(Sheet2!$B$2:$B$1132,MATCH(Sheet1!C391,Sheet1!$C$2:$C$1132,0)),"IDK")</f>
        <v>IT</v>
      </c>
      <c r="E391" t="s">
        <v>48</v>
      </c>
      <c r="F391" t="s">
        <v>54</v>
      </c>
      <c r="G391" s="1">
        <v>45477</v>
      </c>
      <c r="H391" t="s">
        <v>59</v>
      </c>
      <c r="I391" s="2" t="s">
        <v>164</v>
      </c>
      <c r="J391" s="2" t="s">
        <v>165</v>
      </c>
      <c r="K391">
        <f>IFERROR(INDEX(Sheet2!$C$2:$C$1132,MATCH(Sheet1!C391,Sheet1!$C$2:$C$1132,0)),"")</f>
        <v>35000</v>
      </c>
      <c r="L391">
        <f>IFERROR(INDEX(Sheet2!$D$2:$D$1132,MATCH(Sheet1!C391,$C$2:$C$1132,0)),"")</f>
        <v>70000</v>
      </c>
      <c r="M391" t="str">
        <f>IFERROR(INDEX($M$2:$M$1132,MATCH(B391,$B$2:$B$1132,0)),"")</f>
        <v>SQL, PYTHON, AWS, SPARK, ETL</v>
      </c>
      <c r="N391" t="s">
        <v>76</v>
      </c>
      <c r="O391" t="s">
        <v>79</v>
      </c>
    </row>
    <row r="392" spans="1:15" x14ac:dyDescent="0.25">
      <c r="A392">
        <v>18240</v>
      </c>
      <c r="B392" t="s">
        <v>15</v>
      </c>
      <c r="C392" t="s">
        <v>30</v>
      </c>
      <c r="D392" t="str">
        <f>IFERROR(INDEX(Sheet2!$B$2:$B$1132,MATCH(Sheet1!C392,Sheet1!$C$2:$C$1132,0)),"IDK")</f>
        <v>IT</v>
      </c>
      <c r="E392" t="s">
        <v>48</v>
      </c>
      <c r="F392" t="s">
        <v>54</v>
      </c>
      <c r="G392" s="1">
        <v>45476</v>
      </c>
      <c r="H392" t="s">
        <v>59</v>
      </c>
      <c r="I392" s="2" t="s">
        <v>166</v>
      </c>
      <c r="J392" s="2" t="s">
        <v>167</v>
      </c>
      <c r="K392">
        <f>IFERROR(INDEX(Sheet2!$C$2:$C$1132,MATCH(Sheet1!C392,Sheet1!$C$2:$C$1132,0)),"")</f>
        <v>25000</v>
      </c>
      <c r="L392">
        <f>IFERROR(INDEX(Sheet2!$D$2:$D$1132,MATCH(Sheet1!C392,$C$2:$C$1132,0)),"")</f>
        <v>60000</v>
      </c>
      <c r="M392" t="str">
        <f>IFERROR(INDEX($M$2:$M$1132,MATCH(B392,$B$2:$B$1132,0)),"")</f>
        <v>SQL, PYTHON, AWS, SPARK, ETL</v>
      </c>
      <c r="N392" t="s">
        <v>76</v>
      </c>
      <c r="O392" t="s">
        <v>37</v>
      </c>
    </row>
    <row r="393" spans="1:15" x14ac:dyDescent="0.25">
      <c r="A393">
        <v>18241</v>
      </c>
      <c r="B393" t="s">
        <v>15</v>
      </c>
      <c r="C393" t="s">
        <v>31</v>
      </c>
      <c r="D393" t="str">
        <f>IFERROR(INDEX(Sheet2!$B$2:$B$1132,MATCH(Sheet1!C393,Sheet1!$C$2:$C$1132,0)),"IDK")</f>
        <v>IT</v>
      </c>
      <c r="E393" t="s">
        <v>48</v>
      </c>
      <c r="F393" t="s">
        <v>54</v>
      </c>
      <c r="G393" s="1">
        <v>45621</v>
      </c>
      <c r="H393" t="s">
        <v>59</v>
      </c>
      <c r="I393" s="2" t="s">
        <v>168</v>
      </c>
      <c r="J393" s="2" t="s">
        <v>169</v>
      </c>
      <c r="K393">
        <f>IFERROR(INDEX(Sheet2!$C$2:$C$1132,MATCH(Sheet1!C393,Sheet1!$C$2:$C$1132,0)),"")</f>
        <v>25000</v>
      </c>
      <c r="L393">
        <f>IFERROR(INDEX(Sheet2!$D$2:$D$1132,MATCH(Sheet1!C393,$C$2:$C$1132,0)),"")</f>
        <v>75000</v>
      </c>
      <c r="M393" t="str">
        <f>IFERROR(INDEX($M$2:$M$1132,MATCH(B393,$B$2:$B$1132,0)),"")</f>
        <v>SQL, PYTHON, AWS, SPARK, ETL</v>
      </c>
      <c r="N393" t="s">
        <v>76</v>
      </c>
      <c r="O393" t="s">
        <v>78</v>
      </c>
    </row>
    <row r="394" spans="1:15" x14ac:dyDescent="0.25">
      <c r="A394">
        <v>18242</v>
      </c>
      <c r="B394" t="s">
        <v>15</v>
      </c>
      <c r="C394" t="s">
        <v>32</v>
      </c>
      <c r="D394" t="str">
        <f>IFERROR(INDEX(Sheet2!$B$2:$B$1132,MATCH(Sheet1!C394,Sheet1!$C$2:$C$1132,0)),"IDK")</f>
        <v>SOCIAL</v>
      </c>
      <c r="E394" t="s">
        <v>48</v>
      </c>
      <c r="F394" t="s">
        <v>54</v>
      </c>
      <c r="G394" s="1">
        <v>45652</v>
      </c>
      <c r="H394" t="s">
        <v>59</v>
      </c>
      <c r="I394" s="2" t="s">
        <v>168</v>
      </c>
      <c r="J394" s="2" t="s">
        <v>170</v>
      </c>
      <c r="K394">
        <f>IFERROR(INDEX(Sheet2!$C$2:$C$1132,MATCH(Sheet1!C394,Sheet1!$C$2:$C$1132,0)),"")</f>
        <v>20000</v>
      </c>
      <c r="L394">
        <f>IFERROR(INDEX(Sheet2!$D$2:$D$1132,MATCH(Sheet1!C394,$C$2:$C$1132,0)),"")</f>
        <v>70000</v>
      </c>
      <c r="M394" t="str">
        <f>IFERROR(INDEX($M$2:$M$1132,MATCH(B394,$B$2:$B$1132,0)),"")</f>
        <v>SQL, PYTHON, AWS, SPARK, ETL</v>
      </c>
      <c r="N394" t="s">
        <v>76</v>
      </c>
      <c r="O394" t="s">
        <v>78</v>
      </c>
    </row>
    <row r="395" spans="1:15" x14ac:dyDescent="0.25">
      <c r="A395">
        <v>18243</v>
      </c>
      <c r="B395" t="s">
        <v>15</v>
      </c>
      <c r="C395" t="s">
        <v>33</v>
      </c>
      <c r="D395" t="str">
        <f>IFERROR(INDEX(Sheet2!$B$2:$B$1132,MATCH(Sheet1!C395,Sheet1!$C$2:$C$1132,0)),"IDK")</f>
        <v>FINANCE</v>
      </c>
      <c r="E395" t="s">
        <v>48</v>
      </c>
      <c r="F395" t="s">
        <v>54</v>
      </c>
      <c r="G395" s="1">
        <v>45294</v>
      </c>
      <c r="H395" t="s">
        <v>59</v>
      </c>
      <c r="I395" s="2" t="s">
        <v>171</v>
      </c>
      <c r="J395" s="2" t="s">
        <v>172</v>
      </c>
      <c r="K395">
        <f>IFERROR(INDEX(Sheet2!$C$2:$C$1132,MATCH(Sheet1!C395,Sheet1!$C$2:$C$1132,0)),"")</f>
        <v>40000</v>
      </c>
      <c r="L395">
        <f>IFERROR(INDEX(Sheet2!$D$2:$D$1132,MATCH(Sheet1!C395,$C$2:$C$1132,0)),"")</f>
        <v>85000</v>
      </c>
      <c r="M395" t="str">
        <f>IFERROR(INDEX($M$2:$M$1132,MATCH(B395,$B$2:$B$1132,0)),"")</f>
        <v>SQL, PYTHON, AWS, SPARK, ETL</v>
      </c>
      <c r="N395" t="s">
        <v>76</v>
      </c>
      <c r="O395" t="s">
        <v>79</v>
      </c>
    </row>
    <row r="396" spans="1:15" x14ac:dyDescent="0.25">
      <c r="A396">
        <v>18244</v>
      </c>
      <c r="B396" t="s">
        <v>15</v>
      </c>
      <c r="C396" t="s">
        <v>23</v>
      </c>
      <c r="D396" t="str">
        <f>IFERROR(INDEX(Sheet2!$B$2:$B$1132,MATCH(Sheet1!C396,Sheet1!$C$2:$C$1132,0)),"IDK")</f>
        <v>IT</v>
      </c>
      <c r="E396" t="s">
        <v>48</v>
      </c>
      <c r="F396" t="s">
        <v>54</v>
      </c>
      <c r="G396" s="1">
        <v>45364</v>
      </c>
      <c r="H396" t="s">
        <v>59</v>
      </c>
      <c r="I396" s="2" t="s">
        <v>171</v>
      </c>
      <c r="J396" s="2" t="s">
        <v>172</v>
      </c>
      <c r="K396">
        <f>IFERROR(INDEX(Sheet2!$C$2:$C$1132,MATCH(Sheet1!C396,Sheet1!$C$2:$C$1132,0)),"")</f>
        <v>35000</v>
      </c>
      <c r="L396">
        <f>IFERROR(INDEX(Sheet2!$D$2:$D$1132,MATCH(Sheet1!C396,$C$2:$C$1132,0)),"")</f>
        <v>70000</v>
      </c>
      <c r="M396" t="str">
        <f>IFERROR(INDEX($M$2:$M$1132,MATCH(B396,$B$2:$B$1132,0)),"")</f>
        <v>SQL, PYTHON, AWS, SPARK, ETL</v>
      </c>
      <c r="N396" t="s">
        <v>76</v>
      </c>
      <c r="O396" t="s">
        <v>80</v>
      </c>
    </row>
    <row r="397" spans="1:15" x14ac:dyDescent="0.25">
      <c r="A397">
        <v>18245</v>
      </c>
      <c r="B397" t="s">
        <v>15</v>
      </c>
      <c r="C397" t="s">
        <v>24</v>
      </c>
      <c r="D397" t="str">
        <f>IFERROR(INDEX(Sheet2!$B$2:$B$1132,MATCH(Sheet1!C397,Sheet1!$C$2:$C$1132,0)),"IDK")</f>
        <v>HEALTH</v>
      </c>
      <c r="E397" t="s">
        <v>48</v>
      </c>
      <c r="F397" t="s">
        <v>54</v>
      </c>
      <c r="G397" s="1">
        <v>45594</v>
      </c>
      <c r="H397" t="s">
        <v>59</v>
      </c>
      <c r="I397" s="2" t="s">
        <v>161</v>
      </c>
      <c r="J397" s="2" t="s">
        <v>162</v>
      </c>
      <c r="K397">
        <f>IFERROR(INDEX(Sheet2!$C$2:$C$1132,MATCH(Sheet1!C397,Sheet1!$C$2:$C$1132,0)),"")</f>
        <v>25000</v>
      </c>
      <c r="L397">
        <f>IFERROR(INDEX(Sheet2!$D$2:$D$1132,MATCH(Sheet1!C397,$C$2:$C$1132,0)),"")</f>
        <v>50000</v>
      </c>
      <c r="M397" t="str">
        <f>IFERROR(INDEX($M$2:$M$1132,MATCH(B397,$B$2:$B$1132,0)),"")</f>
        <v>SQL, PYTHON, AWS, SPARK, ETL</v>
      </c>
      <c r="N397" t="s">
        <v>76</v>
      </c>
      <c r="O397" t="s">
        <v>77</v>
      </c>
    </row>
    <row r="398" spans="1:15" x14ac:dyDescent="0.25">
      <c r="A398">
        <v>18246</v>
      </c>
      <c r="B398" t="s">
        <v>15</v>
      </c>
      <c r="C398" t="s">
        <v>25</v>
      </c>
      <c r="D398" t="str">
        <f>IFERROR(INDEX(Sheet2!$B$2:$B$1132,MATCH(Sheet1!C398,Sheet1!$C$2:$C$1132,0)),"IDK")</f>
        <v>SOCIAL</v>
      </c>
      <c r="E398" t="s">
        <v>48</v>
      </c>
      <c r="F398" t="s">
        <v>54</v>
      </c>
      <c r="G398" s="1">
        <v>45509</v>
      </c>
      <c r="H398" t="s">
        <v>59</v>
      </c>
      <c r="I398" s="2" t="s">
        <v>161</v>
      </c>
      <c r="J398" s="2" t="s">
        <v>163</v>
      </c>
      <c r="K398">
        <f>IFERROR(INDEX(Sheet2!$C$2:$C$1132,MATCH(Sheet1!C398,Sheet1!$C$2:$C$1132,0)),"")</f>
        <v>30000</v>
      </c>
      <c r="L398">
        <f>IFERROR(INDEX(Sheet2!$D$2:$D$1132,MATCH(Sheet1!C398,$C$2:$C$1132,0)),"")</f>
        <v>60000</v>
      </c>
      <c r="M398" t="str">
        <f>IFERROR(INDEX($M$2:$M$1132,MATCH(B398,$B$2:$B$1132,0)),"")</f>
        <v>SQL, PYTHON, AWS, SPARK, ETL</v>
      </c>
      <c r="N398" t="s">
        <v>76</v>
      </c>
      <c r="O398" t="s">
        <v>79</v>
      </c>
    </row>
    <row r="399" spans="1:15" x14ac:dyDescent="0.25">
      <c r="A399">
        <v>18247</v>
      </c>
      <c r="B399" t="s">
        <v>15</v>
      </c>
      <c r="C399" t="s">
        <v>26</v>
      </c>
      <c r="D399" t="str">
        <f>IFERROR(INDEX(Sheet2!$B$2:$B$1132,MATCH(Sheet1!C399,Sheet1!$C$2:$C$1132,0)),"IDK")</f>
        <v>FINANCE</v>
      </c>
      <c r="E399" t="s">
        <v>48</v>
      </c>
      <c r="F399" t="s">
        <v>54</v>
      </c>
      <c r="G399" s="1">
        <v>45518</v>
      </c>
      <c r="H399" t="s">
        <v>59</v>
      </c>
      <c r="I399" s="2" t="s">
        <v>164</v>
      </c>
      <c r="J399" s="2" t="s">
        <v>165</v>
      </c>
      <c r="K399">
        <f>IFERROR(INDEX(Sheet2!$C$2:$C$1132,MATCH(Sheet1!C399,Sheet1!$C$2:$C$1132,0)),"")</f>
        <v>35000</v>
      </c>
      <c r="L399">
        <f>IFERROR(INDEX(Sheet2!$D$2:$D$1132,MATCH(Sheet1!C399,$C$2:$C$1132,0)),"")</f>
        <v>75000</v>
      </c>
      <c r="M399" t="str">
        <f>IFERROR(INDEX($M$2:$M$1132,MATCH(B399,$B$2:$B$1132,0)),"")</f>
        <v>SQL, PYTHON, AWS, SPARK, ETL</v>
      </c>
      <c r="N399" t="s">
        <v>76</v>
      </c>
      <c r="O399" t="s">
        <v>37</v>
      </c>
    </row>
    <row r="400" spans="1:15" x14ac:dyDescent="0.25">
      <c r="A400">
        <v>18248</v>
      </c>
      <c r="B400" t="s">
        <v>15</v>
      </c>
      <c r="C400" t="s">
        <v>37</v>
      </c>
      <c r="D400" t="s">
        <v>43</v>
      </c>
      <c r="E400" t="s">
        <v>48</v>
      </c>
      <c r="F400" t="s">
        <v>54</v>
      </c>
      <c r="G400" s="1">
        <v>45466</v>
      </c>
      <c r="H400" t="s">
        <v>59</v>
      </c>
      <c r="I400" s="2" t="s">
        <v>166</v>
      </c>
      <c r="J400" s="2" t="s">
        <v>167</v>
      </c>
      <c r="K400">
        <v>45000</v>
      </c>
      <c r="L400">
        <v>90000</v>
      </c>
      <c r="M400" t="str">
        <f>IFERROR(INDEX($M$2:$M$1132,MATCH(B400,$B$2:$B$1132,0)),"")</f>
        <v>SQL, PYTHON, AWS, SPARK, ETL</v>
      </c>
      <c r="N400" t="s">
        <v>76</v>
      </c>
      <c r="O400" t="s">
        <v>78</v>
      </c>
    </row>
    <row r="401" spans="1:15" x14ac:dyDescent="0.25">
      <c r="A401">
        <v>18249</v>
      </c>
      <c r="B401" t="s">
        <v>15</v>
      </c>
      <c r="C401" t="s">
        <v>38</v>
      </c>
      <c r="D401" t="s">
        <v>42</v>
      </c>
      <c r="E401" t="s">
        <v>48</v>
      </c>
      <c r="F401" t="s">
        <v>54</v>
      </c>
      <c r="G401" s="1">
        <v>45463</v>
      </c>
      <c r="H401" t="s">
        <v>59</v>
      </c>
      <c r="I401" s="2" t="s">
        <v>168</v>
      </c>
      <c r="J401" s="2" t="s">
        <v>169</v>
      </c>
      <c r="K401">
        <v>20000</v>
      </c>
      <c r="L401">
        <v>80000</v>
      </c>
      <c r="M401" t="str">
        <f>IFERROR(INDEX($M$2:$M$1132,MATCH(B401,$B$2:$B$1132,0)),"")</f>
        <v>SQL, PYTHON, AWS, SPARK, ETL</v>
      </c>
      <c r="N401" t="s">
        <v>76</v>
      </c>
      <c r="O401" t="s">
        <v>80</v>
      </c>
    </row>
    <row r="402" spans="1:15" x14ac:dyDescent="0.25">
      <c r="A402">
        <v>18250</v>
      </c>
      <c r="B402" t="s">
        <v>15</v>
      </c>
      <c r="C402" t="s">
        <v>39</v>
      </c>
      <c r="D402" t="s">
        <v>42</v>
      </c>
      <c r="E402" t="s">
        <v>48</v>
      </c>
      <c r="F402" t="s">
        <v>54</v>
      </c>
      <c r="G402" s="1">
        <v>45463</v>
      </c>
      <c r="H402" t="s">
        <v>59</v>
      </c>
      <c r="I402" s="2" t="s">
        <v>168</v>
      </c>
      <c r="J402" s="2" t="s">
        <v>170</v>
      </c>
      <c r="K402">
        <v>25000</v>
      </c>
      <c r="L402">
        <v>85000</v>
      </c>
      <c r="M402" t="str">
        <f>IFERROR(INDEX($M$2:$M$1132,MATCH(B402,$B$2:$B$1132,0)),"")</f>
        <v>SQL, PYTHON, AWS, SPARK, ETL</v>
      </c>
      <c r="N402" t="s">
        <v>76</v>
      </c>
      <c r="O402" t="s">
        <v>79</v>
      </c>
    </row>
    <row r="403" spans="1:15" x14ac:dyDescent="0.25">
      <c r="A403">
        <v>18251</v>
      </c>
      <c r="B403" t="s">
        <v>15</v>
      </c>
      <c r="C403" t="s">
        <v>23</v>
      </c>
      <c r="D403" t="str">
        <f>IFERROR(INDEX(Sheet2!$B$2:$B$1132,MATCH(Sheet1!C403,Sheet1!$C$2:$C$1132,0)),"IDK")</f>
        <v>IT</v>
      </c>
      <c r="E403" t="s">
        <v>48</v>
      </c>
      <c r="F403" t="s">
        <v>54</v>
      </c>
      <c r="G403" s="1">
        <v>45558</v>
      </c>
      <c r="H403" t="s">
        <v>59</v>
      </c>
      <c r="I403" s="2" t="s">
        <v>171</v>
      </c>
      <c r="J403" s="2" t="s">
        <v>172</v>
      </c>
      <c r="K403">
        <f>IFERROR(INDEX(Sheet2!$C$2:$C$1132,MATCH(Sheet1!C403,Sheet1!$C$2:$C$1132,0)),"")</f>
        <v>35000</v>
      </c>
      <c r="L403">
        <f>IFERROR(INDEX(Sheet2!$D$2:$D$1132,MATCH(Sheet1!C403,$C$2:$C$1132,0)),"")</f>
        <v>70000</v>
      </c>
      <c r="M403" t="str">
        <f>IFERROR(INDEX($M$2:$M$1132,MATCH(B403,$B$2:$B$1132,0)),"")</f>
        <v>SQL, PYTHON, AWS, SPARK, ETL</v>
      </c>
      <c r="N403" t="s">
        <v>76</v>
      </c>
      <c r="O403" t="s">
        <v>37</v>
      </c>
    </row>
    <row r="404" spans="1:15" x14ac:dyDescent="0.25">
      <c r="A404">
        <v>18252</v>
      </c>
      <c r="B404" t="s">
        <v>15</v>
      </c>
      <c r="C404" t="s">
        <v>30</v>
      </c>
      <c r="D404" t="str">
        <f>IFERROR(INDEX(Sheet2!$B$2:$B$1132,MATCH(Sheet1!C404,Sheet1!$C$2:$C$1132,0)),"IDK")</f>
        <v>IT</v>
      </c>
      <c r="E404" t="s">
        <v>48</v>
      </c>
      <c r="F404" t="s">
        <v>54</v>
      </c>
      <c r="G404" s="1">
        <v>45361</v>
      </c>
      <c r="H404" t="s">
        <v>59</v>
      </c>
      <c r="I404" s="2" t="s">
        <v>161</v>
      </c>
      <c r="J404" s="2" t="s">
        <v>162</v>
      </c>
      <c r="K404">
        <f>IFERROR(INDEX(Sheet2!$C$2:$C$1132,MATCH(Sheet1!C404,Sheet1!$C$2:$C$1132,0)),"")</f>
        <v>25000</v>
      </c>
      <c r="L404">
        <f>IFERROR(INDEX(Sheet2!$D$2:$D$1132,MATCH(Sheet1!C404,$C$2:$C$1132,0)),"")</f>
        <v>60000</v>
      </c>
      <c r="M404" t="str">
        <f>IFERROR(INDEX($M$2:$M$1132,MATCH(B404,$B$2:$B$1132,0)),"")</f>
        <v>SQL, PYTHON, AWS, SPARK, ETL</v>
      </c>
      <c r="N404" t="s">
        <v>76</v>
      </c>
      <c r="O404" t="s">
        <v>78</v>
      </c>
    </row>
    <row r="405" spans="1:15" x14ac:dyDescent="0.25">
      <c r="A405">
        <v>18253</v>
      </c>
      <c r="B405" t="s">
        <v>15</v>
      </c>
      <c r="C405" t="s">
        <v>31</v>
      </c>
      <c r="D405" t="str">
        <f>IFERROR(INDEX(Sheet2!$B$2:$B$1132,MATCH(Sheet1!C405,Sheet1!$C$2:$C$1132,0)),"IDK")</f>
        <v>IT</v>
      </c>
      <c r="E405" t="s">
        <v>48</v>
      </c>
      <c r="F405" t="s">
        <v>54</v>
      </c>
      <c r="G405" s="1">
        <v>45510</v>
      </c>
      <c r="H405" t="s">
        <v>59</v>
      </c>
      <c r="I405" s="2" t="s">
        <v>161</v>
      </c>
      <c r="J405" s="2" t="s">
        <v>163</v>
      </c>
      <c r="K405">
        <f>IFERROR(INDEX(Sheet2!$C$2:$C$1132,MATCH(Sheet1!C405,Sheet1!$C$2:$C$1132,0)),"")</f>
        <v>25000</v>
      </c>
      <c r="L405">
        <f>IFERROR(INDEX(Sheet2!$D$2:$D$1132,MATCH(Sheet1!C405,$C$2:$C$1132,0)),"")</f>
        <v>75000</v>
      </c>
      <c r="M405" t="str">
        <f>IFERROR(INDEX($M$2:$M$1132,MATCH(B405,$B$2:$B$1132,0)),"")</f>
        <v>SQL, PYTHON, AWS, SPARK, ETL</v>
      </c>
      <c r="N405" t="s">
        <v>76</v>
      </c>
      <c r="O405" t="s">
        <v>79</v>
      </c>
    </row>
    <row r="406" spans="1:15" x14ac:dyDescent="0.25">
      <c r="A406">
        <v>18254</v>
      </c>
      <c r="B406" t="s">
        <v>15</v>
      </c>
      <c r="C406" t="s">
        <v>32</v>
      </c>
      <c r="D406" t="str">
        <f>IFERROR(INDEX(Sheet2!$B$2:$B$1132,MATCH(Sheet1!C406,Sheet1!$C$2:$C$1132,0)),"IDK")</f>
        <v>SOCIAL</v>
      </c>
      <c r="E406" t="s">
        <v>48</v>
      </c>
      <c r="F406" t="s">
        <v>54</v>
      </c>
      <c r="G406" s="1">
        <v>45463</v>
      </c>
      <c r="H406" t="s">
        <v>59</v>
      </c>
      <c r="I406" s="2" t="s">
        <v>164</v>
      </c>
      <c r="J406" s="2" t="s">
        <v>165</v>
      </c>
      <c r="K406">
        <f>IFERROR(INDEX(Sheet2!$C$2:$C$1132,MATCH(Sheet1!C406,Sheet1!$C$2:$C$1132,0)),"")</f>
        <v>20000</v>
      </c>
      <c r="L406">
        <f>IFERROR(INDEX(Sheet2!$D$2:$D$1132,MATCH(Sheet1!C406,$C$2:$C$1132,0)),"")</f>
        <v>70000</v>
      </c>
      <c r="M406" t="str">
        <f>IFERROR(INDEX($M$2:$M$1132,MATCH(B406,$B$2:$B$1132,0)),"")</f>
        <v>SQL, PYTHON, AWS, SPARK, ETL</v>
      </c>
      <c r="N406" t="s">
        <v>76</v>
      </c>
      <c r="O406" t="s">
        <v>80</v>
      </c>
    </row>
    <row r="407" spans="1:15" x14ac:dyDescent="0.25">
      <c r="A407">
        <v>18255</v>
      </c>
      <c r="B407" t="s">
        <v>15</v>
      </c>
      <c r="C407" t="s">
        <v>33</v>
      </c>
      <c r="D407" t="str">
        <f>IFERROR(INDEX(Sheet2!$B$2:$B$1132,MATCH(Sheet1!C407,Sheet1!$C$2:$C$1132,0)),"IDK")</f>
        <v>FINANCE</v>
      </c>
      <c r="E407" t="s">
        <v>48</v>
      </c>
      <c r="F407" t="s">
        <v>54</v>
      </c>
      <c r="G407" s="1">
        <v>45411</v>
      </c>
      <c r="H407" t="s">
        <v>59</v>
      </c>
      <c r="I407" s="2" t="s">
        <v>161</v>
      </c>
      <c r="J407" s="2" t="s">
        <v>163</v>
      </c>
      <c r="K407">
        <f>IFERROR(INDEX(Sheet2!$C$2:$C$1132,MATCH(Sheet1!C407,Sheet1!$C$2:$C$1132,0)),"")</f>
        <v>40000</v>
      </c>
      <c r="L407">
        <f>IFERROR(INDEX(Sheet2!$D$2:$D$1132,MATCH(Sheet1!C407,$C$2:$C$1132,0)),"")</f>
        <v>85000</v>
      </c>
      <c r="M407" t="str">
        <f>IFERROR(INDEX($M$2:$M$1132,MATCH(B407,$B$2:$B$1132,0)),"")</f>
        <v>SQL, PYTHON, AWS, SPARK, ETL</v>
      </c>
      <c r="N407" t="s">
        <v>76</v>
      </c>
      <c r="O407" t="s">
        <v>77</v>
      </c>
    </row>
    <row r="408" spans="1:15" x14ac:dyDescent="0.25">
      <c r="A408">
        <v>18256</v>
      </c>
      <c r="B408" t="s">
        <v>15</v>
      </c>
      <c r="C408" t="s">
        <v>23</v>
      </c>
      <c r="D408" t="str">
        <f>IFERROR(INDEX(Sheet2!$B$2:$B$1132,MATCH(Sheet1!C408,Sheet1!$C$2:$C$1132,0)),"IDK")</f>
        <v>IT</v>
      </c>
      <c r="E408" t="s">
        <v>48</v>
      </c>
      <c r="F408" t="s">
        <v>54</v>
      </c>
      <c r="G408" s="1">
        <v>45504</v>
      </c>
      <c r="H408" t="s">
        <v>59</v>
      </c>
      <c r="I408" s="2" t="s">
        <v>164</v>
      </c>
      <c r="J408" s="2" t="s">
        <v>165</v>
      </c>
      <c r="K408">
        <f>IFERROR(INDEX(Sheet2!$C$2:$C$1132,MATCH(Sheet1!C408,Sheet1!$C$2:$C$1132,0)),"")</f>
        <v>35000</v>
      </c>
      <c r="L408">
        <f>IFERROR(INDEX(Sheet2!$D$2:$D$1132,MATCH(Sheet1!C408,$C$2:$C$1132,0)),"")</f>
        <v>70000</v>
      </c>
      <c r="M408" t="str">
        <f>IFERROR(INDEX($M$2:$M$1132,MATCH(B408,$B$2:$B$1132,0)),"")</f>
        <v>SQL, PYTHON, AWS, SPARK, ETL</v>
      </c>
      <c r="N408" t="s">
        <v>76</v>
      </c>
      <c r="O408" t="s">
        <v>79</v>
      </c>
    </row>
    <row r="409" spans="1:15" x14ac:dyDescent="0.25">
      <c r="A409">
        <v>18257</v>
      </c>
      <c r="B409" t="s">
        <v>15</v>
      </c>
      <c r="C409" t="s">
        <v>24</v>
      </c>
      <c r="D409" t="str">
        <f>IFERROR(INDEX(Sheet2!$B$2:$B$1132,MATCH(Sheet1!C409,Sheet1!$C$2:$C$1132,0)),"IDK")</f>
        <v>HEALTH</v>
      </c>
      <c r="E409" t="s">
        <v>48</v>
      </c>
      <c r="F409" t="s">
        <v>54</v>
      </c>
      <c r="G409" s="1">
        <v>45623</v>
      </c>
      <c r="H409" t="s">
        <v>59</v>
      </c>
      <c r="I409" s="2" t="s">
        <v>161</v>
      </c>
      <c r="J409" s="2" t="s">
        <v>163</v>
      </c>
      <c r="K409">
        <f>IFERROR(INDEX(Sheet2!$C$2:$C$1132,MATCH(Sheet1!C409,Sheet1!$C$2:$C$1132,0)),"")</f>
        <v>25000</v>
      </c>
      <c r="L409">
        <f>IFERROR(INDEX(Sheet2!$D$2:$D$1132,MATCH(Sheet1!C409,$C$2:$C$1132,0)),"")</f>
        <v>50000</v>
      </c>
      <c r="M409" t="str">
        <f>IFERROR(INDEX($M$2:$M$1132,MATCH(B409,$B$2:$B$1132,0)),"")</f>
        <v>SQL, PYTHON, AWS, SPARK, ETL</v>
      </c>
      <c r="N409" t="s">
        <v>76</v>
      </c>
      <c r="O409" t="s">
        <v>37</v>
      </c>
    </row>
    <row r="410" spans="1:15" x14ac:dyDescent="0.25">
      <c r="A410">
        <v>18258</v>
      </c>
      <c r="B410" t="s">
        <v>15</v>
      </c>
      <c r="C410" t="s">
        <v>25</v>
      </c>
      <c r="D410" t="str">
        <f>IFERROR(INDEX(Sheet2!$B$2:$B$1132,MATCH(Sheet1!C410,Sheet1!$C$2:$C$1132,0)),"IDK")</f>
        <v>SOCIAL</v>
      </c>
      <c r="E410" t="s">
        <v>48</v>
      </c>
      <c r="F410" t="s">
        <v>54</v>
      </c>
      <c r="G410" s="1">
        <v>45557</v>
      </c>
      <c r="H410" t="s">
        <v>59</v>
      </c>
      <c r="I410" s="2" t="s">
        <v>164</v>
      </c>
      <c r="J410" s="2" t="s">
        <v>165</v>
      </c>
      <c r="K410">
        <f>IFERROR(INDEX(Sheet2!$C$2:$C$1132,MATCH(Sheet1!C410,Sheet1!$C$2:$C$1132,0)),"")</f>
        <v>30000</v>
      </c>
      <c r="L410">
        <f>IFERROR(INDEX(Sheet2!$D$2:$D$1132,MATCH(Sheet1!C410,$C$2:$C$1132,0)),"")</f>
        <v>60000</v>
      </c>
      <c r="M410" t="str">
        <f>IFERROR(INDEX($M$2:$M$1132,MATCH(B410,$B$2:$B$1132,0)),"")</f>
        <v>SQL, PYTHON, AWS, SPARK, ETL</v>
      </c>
      <c r="N410" t="s">
        <v>76</v>
      </c>
      <c r="O410" t="s">
        <v>78</v>
      </c>
    </row>
    <row r="411" spans="1:15" x14ac:dyDescent="0.25">
      <c r="A411">
        <v>18259</v>
      </c>
      <c r="B411" t="s">
        <v>15</v>
      </c>
      <c r="C411" t="s">
        <v>26</v>
      </c>
      <c r="D411" t="str">
        <f>IFERROR(INDEX(Sheet2!$B$2:$B$1132,MATCH(Sheet1!C411,Sheet1!$C$2:$C$1132,0)),"IDK")</f>
        <v>FINANCE</v>
      </c>
      <c r="E411" t="s">
        <v>48</v>
      </c>
      <c r="F411" t="s">
        <v>54</v>
      </c>
      <c r="G411" s="1">
        <v>45337</v>
      </c>
      <c r="H411" t="s">
        <v>59</v>
      </c>
      <c r="I411" s="2" t="s">
        <v>166</v>
      </c>
      <c r="J411" s="2" t="s">
        <v>167</v>
      </c>
      <c r="K411">
        <f>IFERROR(INDEX(Sheet2!$C$2:$C$1132,MATCH(Sheet1!C411,Sheet1!$C$2:$C$1132,0)),"")</f>
        <v>35000</v>
      </c>
      <c r="L411">
        <f>IFERROR(INDEX(Sheet2!$D$2:$D$1132,MATCH(Sheet1!C411,$C$2:$C$1132,0)),"")</f>
        <v>75000</v>
      </c>
      <c r="M411" t="str">
        <f>IFERROR(INDEX($M$2:$M$1132,MATCH(B411,$B$2:$B$1132,0)),"")</f>
        <v>SQL, PYTHON, AWS, SPARK, ETL</v>
      </c>
      <c r="N411" t="s">
        <v>76</v>
      </c>
      <c r="O411" t="s">
        <v>80</v>
      </c>
    </row>
    <row r="412" spans="1:15" x14ac:dyDescent="0.25">
      <c r="A412">
        <v>18260</v>
      </c>
      <c r="B412" t="s">
        <v>15</v>
      </c>
      <c r="C412" t="s">
        <v>27</v>
      </c>
      <c r="D412" t="str">
        <f>IFERROR(INDEX(Sheet2!$B$2:$B$1132,MATCH(Sheet1!C412,Sheet1!$C$2:$C$1132,0)),"IDK")</f>
        <v>IT</v>
      </c>
      <c r="E412" t="s">
        <v>48</v>
      </c>
      <c r="F412" t="s">
        <v>54</v>
      </c>
      <c r="G412" s="1">
        <v>45359</v>
      </c>
      <c r="H412" t="s">
        <v>59</v>
      </c>
      <c r="I412" s="2" t="s">
        <v>168</v>
      </c>
      <c r="J412" s="2" t="s">
        <v>169</v>
      </c>
      <c r="K412">
        <f>IFERROR(INDEX(Sheet2!$C$2:$C$1132,MATCH(Sheet1!C412,Sheet1!$C$2:$C$1132,0)),"")</f>
        <v>40000</v>
      </c>
      <c r="L412">
        <f>IFERROR(INDEX(Sheet2!$D$2:$D$1132,MATCH(Sheet1!C412,$C$2:$C$1132,0)),"")</f>
        <v>80000</v>
      </c>
      <c r="M412" t="str">
        <f>IFERROR(INDEX($M$2:$M$1132,MATCH(B412,$B$2:$B$1132,0)),"")</f>
        <v>SQL, PYTHON, AWS, SPARK, ETL</v>
      </c>
      <c r="N412" t="s">
        <v>76</v>
      </c>
      <c r="O412" t="s">
        <v>79</v>
      </c>
    </row>
    <row r="413" spans="1:15" x14ac:dyDescent="0.25">
      <c r="A413">
        <v>18261</v>
      </c>
      <c r="B413" t="s">
        <v>15</v>
      </c>
      <c r="C413" t="s">
        <v>28</v>
      </c>
      <c r="D413" t="str">
        <f>IFERROR(INDEX(Sheet2!$B$2:$B$1132,MATCH(Sheet1!C413,Sheet1!$C$2:$C$1132,0)),"IDK")</f>
        <v>IT</v>
      </c>
      <c r="E413" t="s">
        <v>48</v>
      </c>
      <c r="F413" t="s">
        <v>54</v>
      </c>
      <c r="G413" s="1">
        <v>45458</v>
      </c>
      <c r="H413" t="s">
        <v>59</v>
      </c>
      <c r="I413" s="2" t="s">
        <v>168</v>
      </c>
      <c r="J413" s="2" t="s">
        <v>170</v>
      </c>
      <c r="K413">
        <f>IFERROR(INDEX(Sheet2!$C$2:$C$1132,MATCH(Sheet1!C413,Sheet1!$C$2:$C$1132,0)),"")</f>
        <v>30000</v>
      </c>
      <c r="L413">
        <f>IFERROR(INDEX(Sheet2!$D$2:$D$1132,MATCH(Sheet1!C413,$C$2:$C$1132,0)),"")</f>
        <v>55000</v>
      </c>
      <c r="M413" t="str">
        <f>IFERROR(INDEX($M$2:$M$1132,MATCH(B413,$B$2:$B$1132,0)),"")</f>
        <v>SQL, PYTHON, AWS, SPARK, ETL</v>
      </c>
      <c r="N413" t="s">
        <v>76</v>
      </c>
      <c r="O413" t="s">
        <v>37</v>
      </c>
    </row>
    <row r="414" spans="1:15" x14ac:dyDescent="0.25">
      <c r="A414">
        <v>18262</v>
      </c>
      <c r="B414" t="s">
        <v>15</v>
      </c>
      <c r="C414" t="s">
        <v>29</v>
      </c>
      <c r="D414" t="str">
        <f>IFERROR(INDEX(Sheet2!$B$2:$B$1132,MATCH(Sheet1!C414,Sheet1!$C$2:$C$1132,0)),"IDK")</f>
        <v>IT</v>
      </c>
      <c r="E414" t="s">
        <v>48</v>
      </c>
      <c r="F414" t="s">
        <v>54</v>
      </c>
      <c r="G414" s="1">
        <v>45609</v>
      </c>
      <c r="H414" t="s">
        <v>59</v>
      </c>
      <c r="I414" s="2" t="s">
        <v>171</v>
      </c>
      <c r="J414" s="2" t="s">
        <v>172</v>
      </c>
      <c r="K414">
        <f>IFERROR(INDEX(Sheet2!$C$2:$C$1132,MATCH(Sheet1!C414,Sheet1!$C$2:$C$1132,0)),"")</f>
        <v>35000</v>
      </c>
      <c r="L414">
        <f>IFERROR(INDEX(Sheet2!$D$2:$D$1132,MATCH(Sheet1!C414,$C$2:$C$1132,0)),"")</f>
        <v>70000</v>
      </c>
      <c r="M414" t="str">
        <f>IFERROR(INDEX($M$2:$M$1132,MATCH(B414,$B$2:$B$1132,0)),"")</f>
        <v>SQL, PYTHON, AWS, SPARK, ETL</v>
      </c>
      <c r="N414" t="s">
        <v>76</v>
      </c>
      <c r="O414" t="s">
        <v>78</v>
      </c>
    </row>
    <row r="415" spans="1:15" x14ac:dyDescent="0.25">
      <c r="A415">
        <v>18263</v>
      </c>
      <c r="B415" t="s">
        <v>15</v>
      </c>
      <c r="C415" t="s">
        <v>23</v>
      </c>
      <c r="D415" t="str">
        <f>IFERROR(INDEX(Sheet2!$B$2:$B$1132,MATCH(Sheet1!C415,Sheet1!$C$2:$C$1132,0)),"IDK")</f>
        <v>IT</v>
      </c>
      <c r="E415" t="s">
        <v>48</v>
      </c>
      <c r="F415" t="s">
        <v>54</v>
      </c>
      <c r="G415" s="1">
        <v>45479</v>
      </c>
      <c r="H415" t="s">
        <v>59</v>
      </c>
      <c r="I415" s="2" t="s">
        <v>171</v>
      </c>
      <c r="J415" s="2" t="s">
        <v>172</v>
      </c>
      <c r="K415">
        <f>IFERROR(INDEX(Sheet2!$C$2:$C$1132,MATCH(Sheet1!C415,Sheet1!$C$2:$C$1132,0)),"")</f>
        <v>35000</v>
      </c>
      <c r="L415">
        <f>IFERROR(INDEX(Sheet2!$D$2:$D$1132,MATCH(Sheet1!C415,$C$2:$C$1132,0)),"")</f>
        <v>70000</v>
      </c>
      <c r="M415" t="str">
        <f>IFERROR(INDEX($M$2:$M$1132,MATCH(B415,$B$2:$B$1132,0)),"")</f>
        <v>SQL, PYTHON, AWS, SPARK, ETL</v>
      </c>
      <c r="N415" t="s">
        <v>76</v>
      </c>
      <c r="O415" t="s">
        <v>79</v>
      </c>
    </row>
    <row r="416" spans="1:15" x14ac:dyDescent="0.25">
      <c r="A416">
        <v>18264</v>
      </c>
      <c r="B416" t="s">
        <v>15</v>
      </c>
      <c r="C416" t="s">
        <v>30</v>
      </c>
      <c r="D416" t="str">
        <f>IFERROR(INDEX(Sheet2!$B$2:$B$1132,MATCH(Sheet1!C416,Sheet1!$C$2:$C$1132,0)),"IDK")</f>
        <v>IT</v>
      </c>
      <c r="E416" t="s">
        <v>48</v>
      </c>
      <c r="F416" t="s">
        <v>54</v>
      </c>
      <c r="G416" s="1">
        <v>45637</v>
      </c>
      <c r="H416" t="s">
        <v>59</v>
      </c>
      <c r="I416" s="2" t="s">
        <v>161</v>
      </c>
      <c r="J416" s="2" t="s">
        <v>162</v>
      </c>
      <c r="K416">
        <f>IFERROR(INDEX(Sheet2!$C$2:$C$1132,MATCH(Sheet1!C416,Sheet1!$C$2:$C$1132,0)),"")</f>
        <v>25000</v>
      </c>
      <c r="L416">
        <f>IFERROR(INDEX(Sheet2!$D$2:$D$1132,MATCH(Sheet1!C416,$C$2:$C$1132,0)),"")</f>
        <v>60000</v>
      </c>
      <c r="M416" t="str">
        <f>IFERROR(INDEX($M$2:$M$1132,MATCH(B416,$B$2:$B$1132,0)),"")</f>
        <v>SQL, PYTHON, AWS, SPARK, ETL</v>
      </c>
      <c r="N416" t="s">
        <v>75</v>
      </c>
      <c r="O416" t="s">
        <v>80</v>
      </c>
    </row>
    <row r="417" spans="1:15" x14ac:dyDescent="0.25">
      <c r="A417">
        <v>18265</v>
      </c>
      <c r="B417" t="s">
        <v>15</v>
      </c>
      <c r="C417" t="s">
        <v>31</v>
      </c>
      <c r="D417" t="str">
        <f>IFERROR(INDEX(Sheet2!$B$2:$B$1132,MATCH(Sheet1!C417,Sheet1!$C$2:$C$1132,0)),"IDK")</f>
        <v>IT</v>
      </c>
      <c r="E417" t="s">
        <v>48</v>
      </c>
      <c r="F417" t="s">
        <v>54</v>
      </c>
      <c r="G417" s="1">
        <v>45602</v>
      </c>
      <c r="H417" t="s">
        <v>59</v>
      </c>
      <c r="I417" s="2" t="s">
        <v>161</v>
      </c>
      <c r="J417" s="2" t="s">
        <v>163</v>
      </c>
      <c r="K417">
        <f>IFERROR(INDEX(Sheet2!$C$2:$C$1132,MATCH(Sheet1!C417,Sheet1!$C$2:$C$1132,0)),"")</f>
        <v>25000</v>
      </c>
      <c r="L417">
        <f>IFERROR(INDEX(Sheet2!$D$2:$D$1132,MATCH(Sheet1!C417,$C$2:$C$1132,0)),"")</f>
        <v>75000</v>
      </c>
      <c r="M417" t="str">
        <f>IFERROR(INDEX($M$2:$M$1132,MATCH(B417,$B$2:$B$1132,0)),"")</f>
        <v>SQL, PYTHON, AWS, SPARK, ETL</v>
      </c>
      <c r="N417" t="s">
        <v>75</v>
      </c>
      <c r="O417" t="s">
        <v>77</v>
      </c>
    </row>
    <row r="418" spans="1:15" x14ac:dyDescent="0.25">
      <c r="A418">
        <v>18266</v>
      </c>
      <c r="B418" t="s">
        <v>15</v>
      </c>
      <c r="C418" t="s">
        <v>32</v>
      </c>
      <c r="D418" t="str">
        <f>IFERROR(INDEX(Sheet2!$B$2:$B$1132,MATCH(Sheet1!C418,Sheet1!$C$2:$C$1132,0)),"IDK")</f>
        <v>SOCIAL</v>
      </c>
      <c r="E418" t="s">
        <v>48</v>
      </c>
      <c r="F418" t="s">
        <v>54</v>
      </c>
      <c r="G418" s="1">
        <v>45382</v>
      </c>
      <c r="H418" t="s">
        <v>59</v>
      </c>
      <c r="I418" s="2" t="s">
        <v>164</v>
      </c>
      <c r="J418" s="2" t="s">
        <v>165</v>
      </c>
      <c r="K418">
        <f>IFERROR(INDEX(Sheet2!$C$2:$C$1132,MATCH(Sheet1!C418,Sheet1!$C$2:$C$1132,0)),"")</f>
        <v>20000</v>
      </c>
      <c r="L418">
        <f>IFERROR(INDEX(Sheet2!$D$2:$D$1132,MATCH(Sheet1!C418,$C$2:$C$1132,0)),"")</f>
        <v>70000</v>
      </c>
      <c r="M418" t="str">
        <f>IFERROR(INDEX($M$2:$M$1132,MATCH(B418,$B$2:$B$1132,0)),"")</f>
        <v>SQL, PYTHON, AWS, SPARK, ETL</v>
      </c>
      <c r="N418" t="s">
        <v>75</v>
      </c>
      <c r="O418" t="s">
        <v>79</v>
      </c>
    </row>
    <row r="419" spans="1:15" x14ac:dyDescent="0.25">
      <c r="A419">
        <v>18267</v>
      </c>
      <c r="B419" t="s">
        <v>15</v>
      </c>
      <c r="C419" t="s">
        <v>33</v>
      </c>
      <c r="D419" t="str">
        <f>IFERROR(INDEX(Sheet2!$B$2:$B$1132,MATCH(Sheet1!C419,Sheet1!$C$2:$C$1132,0)),"IDK")</f>
        <v>FINANCE</v>
      </c>
      <c r="E419" t="s">
        <v>48</v>
      </c>
      <c r="F419" t="s">
        <v>54</v>
      </c>
      <c r="G419" s="1">
        <v>45419</v>
      </c>
      <c r="H419" t="s">
        <v>59</v>
      </c>
      <c r="I419" s="2" t="s">
        <v>166</v>
      </c>
      <c r="J419" s="2" t="s">
        <v>167</v>
      </c>
      <c r="K419">
        <f>IFERROR(INDEX(Sheet2!$C$2:$C$1132,MATCH(Sheet1!C419,Sheet1!$C$2:$C$1132,0)),"")</f>
        <v>40000</v>
      </c>
      <c r="L419">
        <f>IFERROR(INDEX(Sheet2!$D$2:$D$1132,MATCH(Sheet1!C419,$C$2:$C$1132,0)),"")</f>
        <v>85000</v>
      </c>
      <c r="M419" t="str">
        <f>IFERROR(INDEX($M$2:$M$1132,MATCH(B419,$B$2:$B$1132,0)),"")</f>
        <v>SQL, PYTHON, AWS, SPARK, ETL</v>
      </c>
      <c r="N419" t="s">
        <v>75</v>
      </c>
      <c r="O419" t="s">
        <v>37</v>
      </c>
    </row>
    <row r="420" spans="1:15" x14ac:dyDescent="0.25">
      <c r="A420">
        <v>18268</v>
      </c>
      <c r="B420" t="s">
        <v>15</v>
      </c>
      <c r="C420" t="s">
        <v>24</v>
      </c>
      <c r="D420" t="str">
        <f>IFERROR(INDEX(Sheet2!$B$2:$B$1132,MATCH(Sheet1!C420,Sheet1!$C$2:$C$1132,0)),"IDK")</f>
        <v>HEALTH</v>
      </c>
      <c r="E420" t="s">
        <v>48</v>
      </c>
      <c r="F420" t="s">
        <v>54</v>
      </c>
      <c r="G420" s="1">
        <v>45319</v>
      </c>
      <c r="H420" t="s">
        <v>59</v>
      </c>
      <c r="I420" s="2" t="s">
        <v>168</v>
      </c>
      <c r="J420" s="2" t="s">
        <v>169</v>
      </c>
      <c r="K420">
        <f>IFERROR(INDEX(Sheet2!$C$2:$C$1132,MATCH(Sheet1!C420,Sheet1!$C$2:$C$1132,0)),"")</f>
        <v>25000</v>
      </c>
      <c r="L420">
        <f>IFERROR(INDEX(Sheet2!$D$2:$D$1132,MATCH(Sheet1!C420,$C$2:$C$1132,0)),"")</f>
        <v>50000</v>
      </c>
      <c r="M420" t="str">
        <f>IFERROR(INDEX($M$2:$M$1132,MATCH(B420,$B$2:$B$1132,0)),"")</f>
        <v>SQL, PYTHON, AWS, SPARK, ETL</v>
      </c>
      <c r="N420" t="s">
        <v>75</v>
      </c>
      <c r="O420" t="s">
        <v>78</v>
      </c>
    </row>
    <row r="421" spans="1:15" x14ac:dyDescent="0.25">
      <c r="A421">
        <v>18269</v>
      </c>
      <c r="B421" t="s">
        <v>15</v>
      </c>
      <c r="C421" t="s">
        <v>25</v>
      </c>
      <c r="D421" t="str">
        <f>IFERROR(INDEX(Sheet2!$B$2:$B$1132,MATCH(Sheet1!C421,Sheet1!$C$2:$C$1132,0)),"IDK")</f>
        <v>SOCIAL</v>
      </c>
      <c r="E421" t="s">
        <v>48</v>
      </c>
      <c r="F421" t="s">
        <v>54</v>
      </c>
      <c r="G421" s="1">
        <v>45343</v>
      </c>
      <c r="H421" t="s">
        <v>59</v>
      </c>
      <c r="I421" s="2" t="s">
        <v>168</v>
      </c>
      <c r="J421" s="2" t="s">
        <v>170</v>
      </c>
      <c r="K421">
        <f>IFERROR(INDEX(Sheet2!$C$2:$C$1132,MATCH(Sheet1!C421,Sheet1!$C$2:$C$1132,0)),"")</f>
        <v>30000</v>
      </c>
      <c r="L421">
        <f>IFERROR(INDEX(Sheet2!$D$2:$D$1132,MATCH(Sheet1!C421,$C$2:$C$1132,0)),"")</f>
        <v>60000</v>
      </c>
      <c r="M421" t="str">
        <f>IFERROR(INDEX($M$2:$M$1132,MATCH(B421,$B$2:$B$1132,0)),"")</f>
        <v>SQL, PYTHON, AWS, SPARK, ETL</v>
      </c>
      <c r="N421" t="s">
        <v>75</v>
      </c>
      <c r="O421" t="s">
        <v>78</v>
      </c>
    </row>
    <row r="422" spans="1:15" x14ac:dyDescent="0.25">
      <c r="A422">
        <v>18270</v>
      </c>
      <c r="B422" t="s">
        <v>15</v>
      </c>
      <c r="C422" t="s">
        <v>26</v>
      </c>
      <c r="D422" t="str">
        <f>IFERROR(INDEX(Sheet2!$B$2:$B$1132,MATCH(Sheet1!C422,Sheet1!$C$2:$C$1132,0)),"IDK")</f>
        <v>FINANCE</v>
      </c>
      <c r="E422" t="s">
        <v>48</v>
      </c>
      <c r="F422" t="s">
        <v>54</v>
      </c>
      <c r="G422" s="1">
        <v>45309</v>
      </c>
      <c r="H422" t="s">
        <v>59</v>
      </c>
      <c r="I422" s="2" t="s">
        <v>171</v>
      </c>
      <c r="J422" s="2" t="s">
        <v>172</v>
      </c>
      <c r="K422">
        <f>IFERROR(INDEX(Sheet2!$C$2:$C$1132,MATCH(Sheet1!C422,Sheet1!$C$2:$C$1132,0)),"")</f>
        <v>35000</v>
      </c>
      <c r="L422">
        <f>IFERROR(INDEX(Sheet2!$D$2:$D$1132,MATCH(Sheet1!C422,$C$2:$C$1132,0)),"")</f>
        <v>75000</v>
      </c>
      <c r="M422" t="str">
        <f>IFERROR(INDEX($M$2:$M$1132,MATCH(B422,$B$2:$B$1132,0)),"")</f>
        <v>SQL, PYTHON, AWS, SPARK, ETL</v>
      </c>
      <c r="N422" t="s">
        <v>75</v>
      </c>
      <c r="O422" t="s">
        <v>79</v>
      </c>
    </row>
    <row r="423" spans="1:15" x14ac:dyDescent="0.25">
      <c r="A423">
        <v>18271</v>
      </c>
      <c r="B423" t="s">
        <v>15</v>
      </c>
      <c r="C423" t="s">
        <v>27</v>
      </c>
      <c r="D423" t="str">
        <f>IFERROR(INDEX(Sheet2!$B$2:$B$1132,MATCH(Sheet1!C423,Sheet1!$C$2:$C$1132,0)),"IDK")</f>
        <v>IT</v>
      </c>
      <c r="E423" t="s">
        <v>48</v>
      </c>
      <c r="F423" t="s">
        <v>54</v>
      </c>
      <c r="G423" s="1">
        <v>45386</v>
      </c>
      <c r="H423" t="s">
        <v>59</v>
      </c>
      <c r="I423" s="2" t="s">
        <v>168</v>
      </c>
      <c r="J423" s="2" t="s">
        <v>170</v>
      </c>
      <c r="K423">
        <f>IFERROR(INDEX(Sheet2!$C$2:$C$1132,MATCH(Sheet1!C423,Sheet1!$C$2:$C$1132,0)),"")</f>
        <v>40000</v>
      </c>
      <c r="L423">
        <f>IFERROR(INDEX(Sheet2!$D$2:$D$1132,MATCH(Sheet1!C423,$C$2:$C$1132,0)),"")</f>
        <v>80000</v>
      </c>
      <c r="M423" t="str">
        <f>IFERROR(INDEX($M$2:$M$1132,MATCH(B423,$B$2:$B$1132,0)),"")</f>
        <v>SQL, PYTHON, AWS, SPARK, ETL</v>
      </c>
      <c r="N423" t="s">
        <v>75</v>
      </c>
      <c r="O423" t="s">
        <v>80</v>
      </c>
    </row>
    <row r="424" spans="1:15" x14ac:dyDescent="0.25">
      <c r="A424">
        <v>18272</v>
      </c>
      <c r="B424" t="s">
        <v>15</v>
      </c>
      <c r="C424" t="s">
        <v>28</v>
      </c>
      <c r="D424" t="str">
        <f>IFERROR(INDEX(Sheet2!$B$2:$B$1132,MATCH(Sheet1!C424,Sheet1!$C$2:$C$1132,0)),"IDK")</f>
        <v>IT</v>
      </c>
      <c r="E424" t="s">
        <v>48</v>
      </c>
      <c r="F424" t="s">
        <v>54</v>
      </c>
      <c r="G424" s="1">
        <v>45562</v>
      </c>
      <c r="H424" t="s">
        <v>59</v>
      </c>
      <c r="I424" s="2" t="s">
        <v>171</v>
      </c>
      <c r="J424" s="2" t="s">
        <v>172</v>
      </c>
      <c r="K424">
        <f>IFERROR(INDEX(Sheet2!$C$2:$C$1132,MATCH(Sheet1!C424,Sheet1!$C$2:$C$1132,0)),"")</f>
        <v>30000</v>
      </c>
      <c r="L424">
        <f>IFERROR(INDEX(Sheet2!$D$2:$D$1132,MATCH(Sheet1!C424,$C$2:$C$1132,0)),"")</f>
        <v>55000</v>
      </c>
      <c r="M424" t="str">
        <f>IFERROR(INDEX($M$2:$M$1132,MATCH(B424,$B$2:$B$1132,0)),"")</f>
        <v>SQL, PYTHON, AWS, SPARK, ETL</v>
      </c>
      <c r="N424" t="s">
        <v>75</v>
      </c>
      <c r="O424" t="s">
        <v>77</v>
      </c>
    </row>
    <row r="425" spans="1:15" x14ac:dyDescent="0.25">
      <c r="A425">
        <v>18273</v>
      </c>
      <c r="B425" t="s">
        <v>15</v>
      </c>
      <c r="C425" t="s">
        <v>29</v>
      </c>
      <c r="D425" t="str">
        <f>IFERROR(INDEX(Sheet2!$B$2:$B$1132,MATCH(Sheet1!C425,Sheet1!$C$2:$C$1132,0)),"IDK")</f>
        <v>IT</v>
      </c>
      <c r="E425" t="s">
        <v>48</v>
      </c>
      <c r="F425" t="s">
        <v>54</v>
      </c>
      <c r="G425" s="1">
        <v>45401</v>
      </c>
      <c r="H425" t="s">
        <v>59</v>
      </c>
      <c r="I425" s="2" t="s">
        <v>161</v>
      </c>
      <c r="J425" s="2" t="s">
        <v>162</v>
      </c>
      <c r="K425">
        <f>IFERROR(INDEX(Sheet2!$C$2:$C$1132,MATCH(Sheet1!C425,Sheet1!$C$2:$C$1132,0)),"")</f>
        <v>35000</v>
      </c>
      <c r="L425">
        <f>IFERROR(INDEX(Sheet2!$D$2:$D$1132,MATCH(Sheet1!C425,$C$2:$C$1132,0)),"")</f>
        <v>70000</v>
      </c>
      <c r="M425" t="str">
        <f>IFERROR(INDEX($M$2:$M$1132,MATCH(B425,$B$2:$B$1132,0)),"")</f>
        <v>SQL, PYTHON, AWS, SPARK, ETL</v>
      </c>
      <c r="N425" t="s">
        <v>75</v>
      </c>
      <c r="O425" t="s">
        <v>79</v>
      </c>
    </row>
    <row r="426" spans="1:15" x14ac:dyDescent="0.25">
      <c r="A426">
        <v>18274</v>
      </c>
      <c r="B426" t="s">
        <v>15</v>
      </c>
      <c r="C426" t="s">
        <v>23</v>
      </c>
      <c r="D426" t="str">
        <f>IFERROR(INDEX(Sheet2!$B$2:$B$1132,MATCH(Sheet1!C426,Sheet1!$C$2:$C$1132,0)),"IDK")</f>
        <v>IT</v>
      </c>
      <c r="E426" t="s">
        <v>48</v>
      </c>
      <c r="F426" t="s">
        <v>54</v>
      </c>
      <c r="G426" s="1">
        <v>45337</v>
      </c>
      <c r="H426" t="s">
        <v>59</v>
      </c>
      <c r="I426" s="2" t="s">
        <v>161</v>
      </c>
      <c r="J426" s="2" t="s">
        <v>163</v>
      </c>
      <c r="K426">
        <f>IFERROR(INDEX(Sheet2!$C$2:$C$1132,MATCH(Sheet1!C426,Sheet1!$C$2:$C$1132,0)),"")</f>
        <v>35000</v>
      </c>
      <c r="L426">
        <f>IFERROR(INDEX(Sheet2!$D$2:$D$1132,MATCH(Sheet1!C426,$C$2:$C$1132,0)),"")</f>
        <v>70000</v>
      </c>
      <c r="M426" t="str">
        <f>IFERROR(INDEX($M$2:$M$1132,MATCH(B426,$B$2:$B$1132,0)),"")</f>
        <v>SQL, PYTHON, AWS, SPARK, ETL</v>
      </c>
      <c r="N426" t="s">
        <v>75</v>
      </c>
      <c r="O426" t="s">
        <v>37</v>
      </c>
    </row>
    <row r="427" spans="1:15" x14ac:dyDescent="0.25">
      <c r="A427">
        <v>18275</v>
      </c>
      <c r="B427" t="s">
        <v>15</v>
      </c>
      <c r="C427" t="s">
        <v>30</v>
      </c>
      <c r="D427" t="str">
        <f>IFERROR(INDEX(Sheet2!$B$2:$B$1132,MATCH(Sheet1!C427,Sheet1!$C$2:$C$1132,0)),"IDK")</f>
        <v>IT</v>
      </c>
      <c r="E427" t="s">
        <v>48</v>
      </c>
      <c r="F427" t="s">
        <v>54</v>
      </c>
      <c r="G427" s="1">
        <v>45656</v>
      </c>
      <c r="H427" t="s">
        <v>59</v>
      </c>
      <c r="I427" s="2" t="s">
        <v>164</v>
      </c>
      <c r="J427" s="2" t="s">
        <v>165</v>
      </c>
      <c r="K427">
        <f>IFERROR(INDEX(Sheet2!$C$2:$C$1132,MATCH(Sheet1!C427,Sheet1!$C$2:$C$1132,0)),"")</f>
        <v>25000</v>
      </c>
      <c r="L427">
        <f>IFERROR(INDEX(Sheet2!$D$2:$D$1132,MATCH(Sheet1!C427,$C$2:$C$1132,0)),"")</f>
        <v>60000</v>
      </c>
      <c r="M427" t="str">
        <f>IFERROR(INDEX($M$2:$M$1132,MATCH(B427,$B$2:$B$1132,0)),"")</f>
        <v>SQL, PYTHON, AWS, SPARK, ETL</v>
      </c>
      <c r="N427" t="s">
        <v>75</v>
      </c>
      <c r="O427" t="s">
        <v>78</v>
      </c>
    </row>
    <row r="428" spans="1:15" x14ac:dyDescent="0.25">
      <c r="A428">
        <v>18276</v>
      </c>
      <c r="B428" t="s">
        <v>15</v>
      </c>
      <c r="C428" t="s">
        <v>31</v>
      </c>
      <c r="D428" t="str">
        <f>IFERROR(INDEX(Sheet2!$B$2:$B$1132,MATCH(Sheet1!C428,Sheet1!$C$2:$C$1132,0)),"IDK")</f>
        <v>IT</v>
      </c>
      <c r="E428" t="s">
        <v>51</v>
      </c>
      <c r="F428" t="s">
        <v>54</v>
      </c>
      <c r="G428" s="1">
        <v>45403</v>
      </c>
      <c r="H428" t="s">
        <v>59</v>
      </c>
      <c r="I428" s="2" t="s">
        <v>168</v>
      </c>
      <c r="J428" s="2" t="s">
        <v>170</v>
      </c>
      <c r="K428">
        <f>IFERROR(INDEX(Sheet2!$C$2:$C$1132,MATCH(Sheet1!C428,Sheet1!$C$2:$C$1132,0)),"")</f>
        <v>25000</v>
      </c>
      <c r="L428">
        <f>IFERROR(INDEX(Sheet2!$D$2:$D$1132,MATCH(Sheet1!C428,$C$2:$C$1132,0)),"")</f>
        <v>75000</v>
      </c>
      <c r="M428" t="str">
        <f>IFERROR(INDEX($M$2:$M$1132,MATCH(B428,$B$2:$B$1132,0)),"")</f>
        <v>SQL, PYTHON, AWS, SPARK, ETL</v>
      </c>
      <c r="N428" t="s">
        <v>75</v>
      </c>
      <c r="O428" t="s">
        <v>80</v>
      </c>
    </row>
    <row r="429" spans="1:15" x14ac:dyDescent="0.25">
      <c r="A429">
        <v>18277</v>
      </c>
      <c r="B429" t="s">
        <v>15</v>
      </c>
      <c r="C429" t="s">
        <v>32</v>
      </c>
      <c r="D429" t="str">
        <f>IFERROR(INDEX(Sheet2!$B$2:$B$1132,MATCH(Sheet1!C429,Sheet1!$C$2:$C$1132,0)),"IDK")</f>
        <v>SOCIAL</v>
      </c>
      <c r="E429" t="s">
        <v>51</v>
      </c>
      <c r="F429" t="s">
        <v>54</v>
      </c>
      <c r="G429" s="1">
        <v>45560</v>
      </c>
      <c r="H429" t="s">
        <v>59</v>
      </c>
      <c r="I429" s="2" t="s">
        <v>171</v>
      </c>
      <c r="J429" s="2" t="s">
        <v>172</v>
      </c>
      <c r="K429">
        <f>IFERROR(INDEX(Sheet2!$C$2:$C$1132,MATCH(Sheet1!C429,Sheet1!$C$2:$C$1132,0)),"")</f>
        <v>20000</v>
      </c>
      <c r="L429">
        <f>IFERROR(INDEX(Sheet2!$D$2:$D$1132,MATCH(Sheet1!C429,$C$2:$C$1132,0)),"")</f>
        <v>70000</v>
      </c>
      <c r="M429" t="str">
        <f>IFERROR(INDEX($M$2:$M$1132,MATCH(B429,$B$2:$B$1132,0)),"")</f>
        <v>SQL, PYTHON, AWS, SPARK, ETL</v>
      </c>
      <c r="N429" t="s">
        <v>75</v>
      </c>
      <c r="O429" t="s">
        <v>79</v>
      </c>
    </row>
    <row r="430" spans="1:15" x14ac:dyDescent="0.25">
      <c r="A430">
        <v>18278</v>
      </c>
      <c r="B430" t="s">
        <v>15</v>
      </c>
      <c r="C430" t="s">
        <v>33</v>
      </c>
      <c r="D430" t="str">
        <f>IFERROR(INDEX(Sheet2!$B$2:$B$1132,MATCH(Sheet1!C430,Sheet1!$C$2:$C$1132,0)),"IDK")</f>
        <v>FINANCE</v>
      </c>
      <c r="E430" t="s">
        <v>51</v>
      </c>
      <c r="F430" t="s">
        <v>54</v>
      </c>
      <c r="G430" s="1">
        <v>45569</v>
      </c>
      <c r="H430" t="s">
        <v>59</v>
      </c>
      <c r="I430" s="2" t="s">
        <v>161</v>
      </c>
      <c r="J430" s="2" t="s">
        <v>162</v>
      </c>
      <c r="K430">
        <f>IFERROR(INDEX(Sheet2!$C$2:$C$1132,MATCH(Sheet1!C430,Sheet1!$C$2:$C$1132,0)),"")</f>
        <v>40000</v>
      </c>
      <c r="L430">
        <f>IFERROR(INDEX(Sheet2!$D$2:$D$1132,MATCH(Sheet1!C430,$C$2:$C$1132,0)),"")</f>
        <v>85000</v>
      </c>
      <c r="M430" t="str">
        <f>IFERROR(INDEX($M$2:$M$1132,MATCH(B430,$B$2:$B$1132,0)),"")</f>
        <v>SQL, PYTHON, AWS, SPARK, ETL</v>
      </c>
      <c r="N430" t="s">
        <v>75</v>
      </c>
      <c r="O430" t="s">
        <v>37</v>
      </c>
    </row>
    <row r="431" spans="1:15" x14ac:dyDescent="0.25">
      <c r="A431">
        <v>18279</v>
      </c>
      <c r="B431" t="s">
        <v>15</v>
      </c>
      <c r="C431" t="s">
        <v>34</v>
      </c>
      <c r="D431" t="str">
        <f>IFERROR(INDEX(Sheet2!$B$2:$B$1132,MATCH(Sheet1!C431,Sheet1!$C$2:$C$1132,0)),"IDK")</f>
        <v>IT</v>
      </c>
      <c r="E431" t="s">
        <v>51</v>
      </c>
      <c r="F431" t="s">
        <v>54</v>
      </c>
      <c r="G431" s="1">
        <v>45331</v>
      </c>
      <c r="H431" t="s">
        <v>59</v>
      </c>
      <c r="I431" s="2" t="s">
        <v>161</v>
      </c>
      <c r="J431" s="2" t="s">
        <v>163</v>
      </c>
      <c r="K431">
        <f>IFERROR(INDEX(Sheet2!$C$2:$C$1132,MATCH(Sheet1!C431,Sheet1!$C$2:$C$1132,0)),"")</f>
        <v>35000</v>
      </c>
      <c r="L431">
        <f>IFERROR(INDEX(Sheet2!$D$2:$D$1132,MATCH(Sheet1!C431,$C$2:$C$1132,0)),"")</f>
        <v>90000</v>
      </c>
      <c r="M431" t="str">
        <f>IFERROR(INDEX($M$2:$M$1132,MATCH(B431,$B$2:$B$1132,0)),"")</f>
        <v>SQL, PYTHON, AWS, SPARK, ETL</v>
      </c>
      <c r="N431" t="s">
        <v>74</v>
      </c>
      <c r="O431" t="s">
        <v>78</v>
      </c>
    </row>
    <row r="432" spans="1:15" x14ac:dyDescent="0.25">
      <c r="A432">
        <v>18280</v>
      </c>
      <c r="B432" t="s">
        <v>15</v>
      </c>
      <c r="C432" t="s">
        <v>35</v>
      </c>
      <c r="D432" t="str">
        <f>IFERROR(INDEX(Sheet2!$B$2:$B$1132,MATCH(Sheet1!C432,Sheet1!$C$2:$C$1132,0)),"IDK")</f>
        <v>SOCIAL</v>
      </c>
      <c r="E432" t="s">
        <v>51</v>
      </c>
      <c r="F432" t="s">
        <v>54</v>
      </c>
      <c r="G432" s="1">
        <v>45613</v>
      </c>
      <c r="H432" t="s">
        <v>59</v>
      </c>
      <c r="I432" s="2" t="s">
        <v>164</v>
      </c>
      <c r="J432" s="2" t="s">
        <v>165</v>
      </c>
      <c r="K432">
        <f>IFERROR(INDEX(Sheet2!$C$2:$C$1132,MATCH(Sheet1!C432,Sheet1!$C$2:$C$1132,0)),"")</f>
        <v>30000</v>
      </c>
      <c r="L432">
        <f>IFERROR(INDEX(Sheet2!$D$2:$D$1132,MATCH(Sheet1!C432,$C$2:$C$1132,0)),"")</f>
        <v>95000</v>
      </c>
      <c r="M432" t="str">
        <f>IFERROR(INDEX($M$2:$M$1132,MATCH(B432,$B$2:$B$1132,0)),"")</f>
        <v>SQL, PYTHON, AWS, SPARK, ETL</v>
      </c>
      <c r="N432" t="s">
        <v>74</v>
      </c>
      <c r="O432" t="s">
        <v>79</v>
      </c>
    </row>
    <row r="433" spans="1:15" x14ac:dyDescent="0.25">
      <c r="A433">
        <v>18281</v>
      </c>
      <c r="B433" t="s">
        <v>15</v>
      </c>
      <c r="C433" t="s">
        <v>36</v>
      </c>
      <c r="D433" t="str">
        <f>IFERROR(INDEX(Sheet2!$B$2:$B$1132,MATCH(Sheet1!C433,Sheet1!$C$2:$C$1132,0)),"IDK")</f>
        <v>IT</v>
      </c>
      <c r="E433" t="s">
        <v>51</v>
      </c>
      <c r="F433" t="s">
        <v>54</v>
      </c>
      <c r="G433" s="1">
        <v>45544</v>
      </c>
      <c r="H433" t="s">
        <v>59</v>
      </c>
      <c r="I433" s="2" t="s">
        <v>166</v>
      </c>
      <c r="J433" s="2" t="s">
        <v>167</v>
      </c>
      <c r="K433">
        <f>IFERROR(INDEX(Sheet2!$C$2:$C$1132,MATCH(Sheet1!C433,Sheet1!$C$2:$C$1132,0)),"")</f>
        <v>50000</v>
      </c>
      <c r="L433">
        <f>IFERROR(INDEX(Sheet2!$D$2:$D$1132,MATCH(Sheet1!C433,$C$2:$C$1132,0)),"")</f>
        <v>100000</v>
      </c>
      <c r="M433" t="str">
        <f>IFERROR(INDEX($M$2:$M$1132,MATCH(B433,$B$2:$B$1132,0)),"")</f>
        <v>SQL, PYTHON, AWS, SPARK, ETL</v>
      </c>
      <c r="N433" t="s">
        <v>74</v>
      </c>
      <c r="O433" t="s">
        <v>80</v>
      </c>
    </row>
    <row r="434" spans="1:15" x14ac:dyDescent="0.25">
      <c r="A434">
        <v>18282</v>
      </c>
      <c r="B434" t="s">
        <v>15</v>
      </c>
      <c r="C434" t="s">
        <v>27</v>
      </c>
      <c r="D434" t="str">
        <f>IFERROR(INDEX(Sheet2!$B$2:$B$1132,MATCH(Sheet1!C434,Sheet1!$C$2:$C$1132,0)),"IDK")</f>
        <v>IT</v>
      </c>
      <c r="E434" t="s">
        <v>51</v>
      </c>
      <c r="F434" t="s">
        <v>54</v>
      </c>
      <c r="G434" s="1">
        <v>45652</v>
      </c>
      <c r="H434" t="s">
        <v>59</v>
      </c>
      <c r="I434" s="2" t="s">
        <v>168</v>
      </c>
      <c r="J434" s="2" t="s">
        <v>169</v>
      </c>
      <c r="K434">
        <f>IFERROR(INDEX(Sheet2!$C$2:$C$1132,MATCH(Sheet1!C434,Sheet1!$C$2:$C$1132,0)),"")</f>
        <v>40000</v>
      </c>
      <c r="L434">
        <f>IFERROR(INDEX(Sheet2!$D$2:$D$1132,MATCH(Sheet1!C434,$C$2:$C$1132,0)),"")</f>
        <v>80000</v>
      </c>
      <c r="M434" t="str">
        <f>IFERROR(INDEX($M$2:$M$1132,MATCH(B434,$B$2:$B$1132,0)),"")</f>
        <v>SQL, PYTHON, AWS, SPARK, ETL</v>
      </c>
      <c r="N434" t="s">
        <v>74</v>
      </c>
      <c r="O434" t="s">
        <v>77</v>
      </c>
    </row>
    <row r="435" spans="1:15" x14ac:dyDescent="0.25">
      <c r="A435">
        <v>18283</v>
      </c>
      <c r="B435" t="s">
        <v>15</v>
      </c>
      <c r="C435" t="s">
        <v>28</v>
      </c>
      <c r="D435" t="str">
        <f>IFERROR(INDEX(Sheet2!$B$2:$B$1132,MATCH(Sheet1!C435,Sheet1!$C$2:$C$1132,0)),"IDK")</f>
        <v>IT</v>
      </c>
      <c r="E435" t="s">
        <v>51</v>
      </c>
      <c r="F435" t="s">
        <v>54</v>
      </c>
      <c r="G435" s="1">
        <v>45553</v>
      </c>
      <c r="H435" t="s">
        <v>59</v>
      </c>
      <c r="I435" s="2" t="s">
        <v>168</v>
      </c>
      <c r="J435" s="2" t="s">
        <v>170</v>
      </c>
      <c r="K435">
        <f>IFERROR(INDEX(Sheet2!$C$2:$C$1132,MATCH(Sheet1!C435,Sheet1!$C$2:$C$1132,0)),"")</f>
        <v>30000</v>
      </c>
      <c r="L435">
        <f>IFERROR(INDEX(Sheet2!$D$2:$D$1132,MATCH(Sheet1!C435,$C$2:$C$1132,0)),"")</f>
        <v>55000</v>
      </c>
      <c r="M435" t="str">
        <f>IFERROR(INDEX($M$2:$M$1132,MATCH(B435,$B$2:$B$1132,0)),"")</f>
        <v>SQL, PYTHON, AWS, SPARK, ETL</v>
      </c>
      <c r="N435" t="s">
        <v>74</v>
      </c>
      <c r="O435" t="s">
        <v>79</v>
      </c>
    </row>
    <row r="436" spans="1:15" x14ac:dyDescent="0.25">
      <c r="A436">
        <v>18284</v>
      </c>
      <c r="B436" t="s">
        <v>15</v>
      </c>
      <c r="C436" t="s">
        <v>29</v>
      </c>
      <c r="D436" t="str">
        <f>IFERROR(INDEX(Sheet2!$B$2:$B$1132,MATCH(Sheet1!C436,Sheet1!$C$2:$C$1132,0)),"IDK")</f>
        <v>IT</v>
      </c>
      <c r="E436" t="s">
        <v>51</v>
      </c>
      <c r="F436" t="s">
        <v>54</v>
      </c>
      <c r="G436" s="1">
        <v>45656</v>
      </c>
      <c r="H436" t="s">
        <v>59</v>
      </c>
      <c r="I436" s="2" t="s">
        <v>171</v>
      </c>
      <c r="J436" s="2" t="s">
        <v>172</v>
      </c>
      <c r="K436">
        <f>IFERROR(INDEX(Sheet2!$C$2:$C$1132,MATCH(Sheet1!C436,Sheet1!$C$2:$C$1132,0)),"")</f>
        <v>35000</v>
      </c>
      <c r="L436">
        <f>IFERROR(INDEX(Sheet2!$D$2:$D$1132,MATCH(Sheet1!C436,$C$2:$C$1132,0)),"")</f>
        <v>70000</v>
      </c>
      <c r="M436" t="str">
        <f>IFERROR(INDEX($M$2:$M$1132,MATCH(B436,$B$2:$B$1132,0)),"")</f>
        <v>SQL, PYTHON, AWS, SPARK, ETL</v>
      </c>
      <c r="N436" t="s">
        <v>74</v>
      </c>
      <c r="O436" t="s">
        <v>37</v>
      </c>
    </row>
    <row r="437" spans="1:15" x14ac:dyDescent="0.25">
      <c r="A437">
        <v>18285</v>
      </c>
      <c r="B437" t="s">
        <v>15</v>
      </c>
      <c r="C437" t="s">
        <v>23</v>
      </c>
      <c r="D437" t="str">
        <f>IFERROR(INDEX(Sheet2!$B$2:$B$1132,MATCH(Sheet1!C437,Sheet1!$C$2:$C$1132,0)),"IDK")</f>
        <v>IT</v>
      </c>
      <c r="E437" t="s">
        <v>51</v>
      </c>
      <c r="F437" t="s">
        <v>54</v>
      </c>
      <c r="G437" s="1">
        <v>45474</v>
      </c>
      <c r="H437" t="s">
        <v>59</v>
      </c>
      <c r="I437" s="2" t="s">
        <v>161</v>
      </c>
      <c r="J437" s="2" t="s">
        <v>162</v>
      </c>
      <c r="K437">
        <f>IFERROR(INDEX(Sheet2!$C$2:$C$1132,MATCH(Sheet1!C437,Sheet1!$C$2:$C$1132,0)),"")</f>
        <v>35000</v>
      </c>
      <c r="L437">
        <f>IFERROR(INDEX(Sheet2!$D$2:$D$1132,MATCH(Sheet1!C437,$C$2:$C$1132,0)),"")</f>
        <v>70000</v>
      </c>
      <c r="M437" t="str">
        <f>IFERROR(INDEX($M$2:$M$1132,MATCH(B437,$B$2:$B$1132,0)),"")</f>
        <v>SQL, PYTHON, AWS, SPARK, ETL</v>
      </c>
      <c r="N437" t="s">
        <v>75</v>
      </c>
      <c r="O437" t="s">
        <v>78</v>
      </c>
    </row>
    <row r="438" spans="1:15" x14ac:dyDescent="0.25">
      <c r="A438">
        <v>18286</v>
      </c>
      <c r="B438" t="s">
        <v>15</v>
      </c>
      <c r="C438" t="s">
        <v>30</v>
      </c>
      <c r="D438" t="str">
        <f>IFERROR(INDEX(Sheet2!$B$2:$B$1132,MATCH(Sheet1!C438,Sheet1!$C$2:$C$1132,0)),"IDK")</f>
        <v>IT</v>
      </c>
      <c r="E438" t="s">
        <v>51</v>
      </c>
      <c r="F438" t="s">
        <v>54</v>
      </c>
      <c r="G438" s="1">
        <v>45628</v>
      </c>
      <c r="H438" t="s">
        <v>59</v>
      </c>
      <c r="I438" s="2" t="s">
        <v>161</v>
      </c>
      <c r="J438" s="2" t="s">
        <v>162</v>
      </c>
      <c r="K438">
        <f>IFERROR(INDEX(Sheet2!$C$2:$C$1132,MATCH(Sheet1!C438,Sheet1!$C$2:$C$1132,0)),"")</f>
        <v>25000</v>
      </c>
      <c r="L438">
        <f>IFERROR(INDEX(Sheet2!$D$2:$D$1132,MATCH(Sheet1!C438,$C$2:$C$1132,0)),"")</f>
        <v>60000</v>
      </c>
      <c r="M438" t="str">
        <f>IFERROR(INDEX($M$2:$M$1132,MATCH(B438,$B$2:$B$1132,0)),"")</f>
        <v>SQL, PYTHON, AWS, SPARK, ETL</v>
      </c>
      <c r="N438" t="s">
        <v>75</v>
      </c>
      <c r="O438" t="s">
        <v>80</v>
      </c>
    </row>
    <row r="439" spans="1:15" x14ac:dyDescent="0.25">
      <c r="A439">
        <v>18287</v>
      </c>
      <c r="B439" t="s">
        <v>15</v>
      </c>
      <c r="C439" t="s">
        <v>31</v>
      </c>
      <c r="D439" t="str">
        <f>IFERROR(INDEX(Sheet2!$B$2:$B$1132,MATCH(Sheet1!C439,Sheet1!$C$2:$C$1132,0)),"IDK")</f>
        <v>IT</v>
      </c>
      <c r="E439" t="s">
        <v>51</v>
      </c>
      <c r="F439" t="s">
        <v>54</v>
      </c>
      <c r="G439" s="1">
        <v>45533</v>
      </c>
      <c r="H439" t="s">
        <v>59</v>
      </c>
      <c r="I439" s="2" t="s">
        <v>161</v>
      </c>
      <c r="J439" s="2" t="s">
        <v>163</v>
      </c>
      <c r="K439">
        <f>IFERROR(INDEX(Sheet2!$C$2:$C$1132,MATCH(Sheet1!C439,Sheet1!$C$2:$C$1132,0)),"")</f>
        <v>25000</v>
      </c>
      <c r="L439">
        <f>IFERROR(INDEX(Sheet2!$D$2:$D$1132,MATCH(Sheet1!C439,$C$2:$C$1132,0)),"")</f>
        <v>75000</v>
      </c>
      <c r="M439" t="str">
        <f>IFERROR(INDEX($M$2:$M$1132,MATCH(B439,$B$2:$B$1132,0)),"")</f>
        <v>SQL, PYTHON, AWS, SPARK, ETL</v>
      </c>
      <c r="N439" t="s">
        <v>75</v>
      </c>
      <c r="O439" t="s">
        <v>79</v>
      </c>
    </row>
    <row r="440" spans="1:15" x14ac:dyDescent="0.25">
      <c r="A440">
        <v>18288</v>
      </c>
      <c r="B440" t="s">
        <v>15</v>
      </c>
      <c r="C440" t="s">
        <v>32</v>
      </c>
      <c r="D440" t="str">
        <f>IFERROR(INDEX(Sheet2!$B$2:$B$1132,MATCH(Sheet1!C440,Sheet1!$C$2:$C$1132,0)),"IDK")</f>
        <v>SOCIAL</v>
      </c>
      <c r="E440" t="s">
        <v>51</v>
      </c>
      <c r="F440" t="s">
        <v>54</v>
      </c>
      <c r="G440" s="1">
        <v>45334</v>
      </c>
      <c r="H440" t="s">
        <v>59</v>
      </c>
      <c r="I440" s="2" t="s">
        <v>164</v>
      </c>
      <c r="J440" s="2" t="s">
        <v>165</v>
      </c>
      <c r="K440">
        <f>IFERROR(INDEX(Sheet2!$C$2:$C$1132,MATCH(Sheet1!C440,Sheet1!$C$2:$C$1132,0)),"")</f>
        <v>20000</v>
      </c>
      <c r="L440">
        <f>IFERROR(INDEX(Sheet2!$D$2:$D$1132,MATCH(Sheet1!C440,$C$2:$C$1132,0)),"")</f>
        <v>70000</v>
      </c>
      <c r="M440" t="str">
        <f>IFERROR(INDEX($M$2:$M$1132,MATCH(B440,$B$2:$B$1132,0)),"")</f>
        <v>SQL, PYTHON, AWS, SPARK, ETL</v>
      </c>
      <c r="N440" t="s">
        <v>75</v>
      </c>
      <c r="O440" t="s">
        <v>37</v>
      </c>
    </row>
    <row r="441" spans="1:15" x14ac:dyDescent="0.25">
      <c r="A441">
        <v>18289</v>
      </c>
      <c r="B441" t="s">
        <v>15</v>
      </c>
      <c r="C441" t="s">
        <v>33</v>
      </c>
      <c r="D441" t="str">
        <f>IFERROR(INDEX(Sheet2!$B$2:$B$1132,MATCH(Sheet1!C441,Sheet1!$C$2:$C$1132,0)),"IDK")</f>
        <v>FINANCE</v>
      </c>
      <c r="E441" t="s">
        <v>51</v>
      </c>
      <c r="F441" t="s">
        <v>54</v>
      </c>
      <c r="G441" s="1">
        <v>45636</v>
      </c>
      <c r="H441" t="s">
        <v>59</v>
      </c>
      <c r="I441" s="2" t="s">
        <v>166</v>
      </c>
      <c r="J441" s="2" t="s">
        <v>167</v>
      </c>
      <c r="K441">
        <f>IFERROR(INDEX(Sheet2!$C$2:$C$1132,MATCH(Sheet1!C441,Sheet1!$C$2:$C$1132,0)),"")</f>
        <v>40000</v>
      </c>
      <c r="L441">
        <f>IFERROR(INDEX(Sheet2!$D$2:$D$1132,MATCH(Sheet1!C441,$C$2:$C$1132,0)),"")</f>
        <v>85000</v>
      </c>
      <c r="M441" t="str">
        <f>IFERROR(INDEX($M$2:$M$1132,MATCH(B441,$B$2:$B$1132,0)),"")</f>
        <v>SQL, PYTHON, AWS, SPARK, ETL</v>
      </c>
      <c r="N441" t="s">
        <v>75</v>
      </c>
      <c r="O441" t="s">
        <v>78</v>
      </c>
    </row>
    <row r="442" spans="1:15" x14ac:dyDescent="0.25">
      <c r="A442">
        <v>18290</v>
      </c>
      <c r="B442" t="s">
        <v>15</v>
      </c>
      <c r="C442" t="s">
        <v>23</v>
      </c>
      <c r="D442" t="str">
        <f>IFERROR(INDEX(Sheet2!$B$2:$B$1132,MATCH(Sheet1!C442,Sheet1!$C$2:$C$1132,0)),"IDK")</f>
        <v>IT</v>
      </c>
      <c r="E442" t="s">
        <v>51</v>
      </c>
      <c r="F442" t="s">
        <v>54</v>
      </c>
      <c r="G442" s="1">
        <v>45467</v>
      </c>
      <c r="H442" t="s">
        <v>59</v>
      </c>
      <c r="I442" s="2" t="s">
        <v>168</v>
      </c>
      <c r="J442" s="2" t="s">
        <v>169</v>
      </c>
      <c r="K442">
        <f>IFERROR(INDEX(Sheet2!$C$2:$C$1132,MATCH(Sheet1!C442,Sheet1!$C$2:$C$1132,0)),"")</f>
        <v>35000</v>
      </c>
      <c r="L442">
        <f>IFERROR(INDEX(Sheet2!$D$2:$D$1132,MATCH(Sheet1!C442,$C$2:$C$1132,0)),"")</f>
        <v>70000</v>
      </c>
      <c r="M442" t="str">
        <f>IFERROR(INDEX($M$2:$M$1132,MATCH(B442,$B$2:$B$1132,0)),"")</f>
        <v>SQL, PYTHON, AWS, SPARK, ETL</v>
      </c>
      <c r="N442" t="s">
        <v>76</v>
      </c>
      <c r="O442" t="s">
        <v>79</v>
      </c>
    </row>
    <row r="443" spans="1:15" x14ac:dyDescent="0.25">
      <c r="A443">
        <v>18291</v>
      </c>
      <c r="B443" t="s">
        <v>15</v>
      </c>
      <c r="C443" t="s">
        <v>24</v>
      </c>
      <c r="D443" t="str">
        <f>IFERROR(INDEX(Sheet2!$B$2:$B$1132,MATCH(Sheet1!C443,Sheet1!$C$2:$C$1132,0)),"IDK")</f>
        <v>HEALTH</v>
      </c>
      <c r="E443" t="s">
        <v>51</v>
      </c>
      <c r="F443" t="s">
        <v>54</v>
      </c>
      <c r="G443" s="1">
        <v>45438</v>
      </c>
      <c r="H443" t="s">
        <v>59</v>
      </c>
      <c r="I443" s="2" t="s">
        <v>168</v>
      </c>
      <c r="J443" s="2" t="s">
        <v>170</v>
      </c>
      <c r="K443">
        <f>IFERROR(INDEX(Sheet2!$C$2:$C$1132,MATCH(Sheet1!C443,Sheet1!$C$2:$C$1132,0)),"")</f>
        <v>25000</v>
      </c>
      <c r="L443">
        <f>IFERROR(INDEX(Sheet2!$D$2:$D$1132,MATCH(Sheet1!C443,$C$2:$C$1132,0)),"")</f>
        <v>50000</v>
      </c>
      <c r="M443" t="str">
        <f>IFERROR(INDEX($M$2:$M$1132,MATCH(B443,$B$2:$B$1132,0)),"")</f>
        <v>SQL, PYTHON, AWS, SPARK, ETL</v>
      </c>
      <c r="N443" t="s">
        <v>76</v>
      </c>
      <c r="O443" t="s">
        <v>80</v>
      </c>
    </row>
    <row r="444" spans="1:15" x14ac:dyDescent="0.25">
      <c r="A444">
        <v>18292</v>
      </c>
      <c r="B444" t="s">
        <v>15</v>
      </c>
      <c r="C444" t="s">
        <v>25</v>
      </c>
      <c r="D444" t="str">
        <f>IFERROR(INDEX(Sheet2!$B$2:$B$1132,MATCH(Sheet1!C444,Sheet1!$C$2:$C$1132,0)),"IDK")</f>
        <v>SOCIAL</v>
      </c>
      <c r="E444" t="s">
        <v>51</v>
      </c>
      <c r="F444" t="s">
        <v>54</v>
      </c>
      <c r="G444" s="1">
        <v>45516</v>
      </c>
      <c r="H444" t="s">
        <v>59</v>
      </c>
      <c r="I444" s="2" t="s">
        <v>171</v>
      </c>
      <c r="J444" s="2" t="s">
        <v>172</v>
      </c>
      <c r="K444">
        <f>IFERROR(INDEX(Sheet2!$C$2:$C$1132,MATCH(Sheet1!C444,Sheet1!$C$2:$C$1132,0)),"")</f>
        <v>30000</v>
      </c>
      <c r="L444">
        <f>IFERROR(INDEX(Sheet2!$D$2:$D$1132,MATCH(Sheet1!C444,$C$2:$C$1132,0)),"")</f>
        <v>60000</v>
      </c>
      <c r="M444" t="str">
        <f>IFERROR(INDEX($M$2:$M$1132,MATCH(B444,$B$2:$B$1132,0)),"")</f>
        <v>SQL, PYTHON, AWS, SPARK, ETL</v>
      </c>
      <c r="N444" t="s">
        <v>76</v>
      </c>
      <c r="O444" t="s">
        <v>77</v>
      </c>
    </row>
    <row r="445" spans="1:15" x14ac:dyDescent="0.25">
      <c r="A445">
        <v>18293</v>
      </c>
      <c r="B445" t="s">
        <v>15</v>
      </c>
      <c r="C445" t="s">
        <v>26</v>
      </c>
      <c r="D445" t="str">
        <f>IFERROR(INDEX(Sheet2!$B$2:$B$1132,MATCH(Sheet1!C445,Sheet1!$C$2:$C$1132,0)),"IDK")</f>
        <v>FINANCE</v>
      </c>
      <c r="E445" t="s">
        <v>51</v>
      </c>
      <c r="F445" t="s">
        <v>54</v>
      </c>
      <c r="G445" s="1">
        <v>45653</v>
      </c>
      <c r="H445" t="s">
        <v>59</v>
      </c>
      <c r="I445" s="2" t="s">
        <v>161</v>
      </c>
      <c r="J445" s="2" t="s">
        <v>162</v>
      </c>
      <c r="K445">
        <f>IFERROR(INDEX(Sheet2!$C$2:$C$1132,MATCH(Sheet1!C445,Sheet1!$C$2:$C$1132,0)),"")</f>
        <v>35000</v>
      </c>
      <c r="L445">
        <f>IFERROR(INDEX(Sheet2!$D$2:$D$1132,MATCH(Sheet1!C445,$C$2:$C$1132,0)),"")</f>
        <v>75000</v>
      </c>
      <c r="M445" t="str">
        <f>IFERROR(INDEX($M$2:$M$1132,MATCH(B445,$B$2:$B$1132,0)),"")</f>
        <v>SQL, PYTHON, AWS, SPARK, ETL</v>
      </c>
      <c r="N445" t="s">
        <v>76</v>
      </c>
      <c r="O445" t="s">
        <v>79</v>
      </c>
    </row>
    <row r="446" spans="1:15" x14ac:dyDescent="0.25">
      <c r="A446">
        <v>18294</v>
      </c>
      <c r="B446" t="s">
        <v>15</v>
      </c>
      <c r="C446" t="s">
        <v>37</v>
      </c>
      <c r="D446" t="s">
        <v>43</v>
      </c>
      <c r="E446" t="s">
        <v>51</v>
      </c>
      <c r="F446" t="s">
        <v>54</v>
      </c>
      <c r="G446" s="1">
        <v>45406</v>
      </c>
      <c r="H446" t="s">
        <v>59</v>
      </c>
      <c r="I446" s="2" t="s">
        <v>161</v>
      </c>
      <c r="J446" s="2" t="s">
        <v>163</v>
      </c>
      <c r="K446">
        <v>45000</v>
      </c>
      <c r="L446">
        <v>90000</v>
      </c>
      <c r="M446" t="str">
        <f>IFERROR(INDEX($M$2:$M$1132,MATCH(B446,$B$2:$B$1132,0)),"")</f>
        <v>SQL, PYTHON, AWS, SPARK, ETL</v>
      </c>
      <c r="N446" t="s">
        <v>76</v>
      </c>
      <c r="O446" t="s">
        <v>37</v>
      </c>
    </row>
    <row r="447" spans="1:15" x14ac:dyDescent="0.25">
      <c r="A447">
        <v>18295</v>
      </c>
      <c r="B447" t="s">
        <v>15</v>
      </c>
      <c r="C447" t="s">
        <v>38</v>
      </c>
      <c r="D447" t="s">
        <v>42</v>
      </c>
      <c r="E447" t="s">
        <v>51</v>
      </c>
      <c r="F447" t="s">
        <v>54</v>
      </c>
      <c r="G447" s="1">
        <v>45459</v>
      </c>
      <c r="H447" t="s">
        <v>59</v>
      </c>
      <c r="I447" s="2" t="s">
        <v>164</v>
      </c>
      <c r="J447" s="2" t="s">
        <v>165</v>
      </c>
      <c r="K447">
        <v>20000</v>
      </c>
      <c r="L447">
        <v>80000</v>
      </c>
      <c r="M447" t="str">
        <f>IFERROR(INDEX($M$2:$M$1132,MATCH(B447,$B$2:$B$1132,0)),"")</f>
        <v>SQL, PYTHON, AWS, SPARK, ETL</v>
      </c>
      <c r="N447" t="s">
        <v>76</v>
      </c>
      <c r="O447" t="s">
        <v>78</v>
      </c>
    </row>
    <row r="448" spans="1:15" x14ac:dyDescent="0.25">
      <c r="A448">
        <v>18296</v>
      </c>
      <c r="B448" t="s">
        <v>15</v>
      </c>
      <c r="C448" t="s">
        <v>39</v>
      </c>
      <c r="D448" t="s">
        <v>42</v>
      </c>
      <c r="E448" t="s">
        <v>51</v>
      </c>
      <c r="F448" t="s">
        <v>54</v>
      </c>
      <c r="G448" s="1">
        <v>45584</v>
      </c>
      <c r="H448" t="s">
        <v>59</v>
      </c>
      <c r="I448" s="2" t="s">
        <v>161</v>
      </c>
      <c r="J448" s="2" t="s">
        <v>163</v>
      </c>
      <c r="K448">
        <v>25000</v>
      </c>
      <c r="L448">
        <v>85000</v>
      </c>
      <c r="M448" t="str">
        <f>IFERROR(INDEX($M$2:$M$1132,MATCH(B448,$B$2:$B$1132,0)),"")</f>
        <v>SQL, PYTHON, AWS, SPARK, ETL</v>
      </c>
      <c r="N448" t="s">
        <v>74</v>
      </c>
      <c r="O448" t="s">
        <v>78</v>
      </c>
    </row>
    <row r="449" spans="1:15" x14ac:dyDescent="0.25">
      <c r="A449">
        <v>18297</v>
      </c>
      <c r="B449" t="s">
        <v>15</v>
      </c>
      <c r="C449" t="s">
        <v>23</v>
      </c>
      <c r="D449" t="str">
        <f>IFERROR(INDEX(Sheet2!$B$2:$B$1132,MATCH(Sheet1!C449,Sheet1!$C$2:$C$1132,0)),"IDK")</f>
        <v>IT</v>
      </c>
      <c r="E449" t="s">
        <v>51</v>
      </c>
      <c r="F449" t="s">
        <v>54</v>
      </c>
      <c r="G449" s="1">
        <v>45432</v>
      </c>
      <c r="H449" t="s">
        <v>59</v>
      </c>
      <c r="I449" s="2" t="s">
        <v>164</v>
      </c>
      <c r="J449" s="2" t="s">
        <v>165</v>
      </c>
      <c r="K449">
        <f>IFERROR(INDEX(Sheet2!$C$2:$C$1132,MATCH(Sheet1!C449,Sheet1!$C$2:$C$1132,0)),"")</f>
        <v>35000</v>
      </c>
      <c r="L449">
        <f>IFERROR(INDEX(Sheet2!$D$2:$D$1132,MATCH(Sheet1!C449,$C$2:$C$1132,0)),"")</f>
        <v>70000</v>
      </c>
      <c r="M449" t="str">
        <f>IFERROR(INDEX($M$2:$M$1132,MATCH(B449,$B$2:$B$1132,0)),"")</f>
        <v>SQL, PYTHON, AWS, SPARK, ETL</v>
      </c>
      <c r="N449" t="s">
        <v>74</v>
      </c>
      <c r="O449" t="s">
        <v>79</v>
      </c>
    </row>
    <row r="450" spans="1:15" x14ac:dyDescent="0.25">
      <c r="A450">
        <v>18298</v>
      </c>
      <c r="B450" t="s">
        <v>15</v>
      </c>
      <c r="C450" t="s">
        <v>30</v>
      </c>
      <c r="D450" t="str">
        <f>IFERROR(INDEX(Sheet2!$B$2:$B$1132,MATCH(Sheet1!C450,Sheet1!$C$2:$C$1132,0)),"IDK")</f>
        <v>IT</v>
      </c>
      <c r="E450" t="s">
        <v>51</v>
      </c>
      <c r="F450" t="s">
        <v>54</v>
      </c>
      <c r="G450" s="1">
        <v>45650</v>
      </c>
      <c r="H450" t="s">
        <v>59</v>
      </c>
      <c r="I450" s="2" t="s">
        <v>161</v>
      </c>
      <c r="J450" s="2" t="s">
        <v>163</v>
      </c>
      <c r="K450">
        <f>IFERROR(INDEX(Sheet2!$C$2:$C$1132,MATCH(Sheet1!C450,Sheet1!$C$2:$C$1132,0)),"")</f>
        <v>25000</v>
      </c>
      <c r="L450">
        <f>IFERROR(INDEX(Sheet2!$D$2:$D$1132,MATCH(Sheet1!C450,$C$2:$C$1132,0)),"")</f>
        <v>60000</v>
      </c>
      <c r="M450" t="str">
        <f>IFERROR(INDEX($M$2:$M$1132,MATCH(B450,$B$2:$B$1132,0)),"")</f>
        <v>SQL, PYTHON, AWS, SPARK, ETL</v>
      </c>
      <c r="N450" t="s">
        <v>74</v>
      </c>
      <c r="O450" t="s">
        <v>80</v>
      </c>
    </row>
    <row r="451" spans="1:15" x14ac:dyDescent="0.25">
      <c r="A451">
        <v>18299</v>
      </c>
      <c r="B451" t="s">
        <v>15</v>
      </c>
      <c r="C451" t="s">
        <v>31</v>
      </c>
      <c r="D451" t="str">
        <f>IFERROR(INDEX(Sheet2!$B$2:$B$1132,MATCH(Sheet1!C451,Sheet1!$C$2:$C$1132,0)),"IDK")</f>
        <v>IT</v>
      </c>
      <c r="E451" t="s">
        <v>51</v>
      </c>
      <c r="F451" t="s">
        <v>54</v>
      </c>
      <c r="G451" s="1">
        <v>45347</v>
      </c>
      <c r="H451" t="s">
        <v>59</v>
      </c>
      <c r="I451" s="2" t="s">
        <v>164</v>
      </c>
      <c r="J451" s="2" t="s">
        <v>165</v>
      </c>
      <c r="K451">
        <f>IFERROR(INDEX(Sheet2!$C$2:$C$1132,MATCH(Sheet1!C451,Sheet1!$C$2:$C$1132,0)),"")</f>
        <v>25000</v>
      </c>
      <c r="L451">
        <f>IFERROR(INDEX(Sheet2!$D$2:$D$1132,MATCH(Sheet1!C451,$C$2:$C$1132,0)),"")</f>
        <v>75000</v>
      </c>
      <c r="M451" t="str">
        <f>IFERROR(INDEX($M$2:$M$1132,MATCH(B451,$B$2:$B$1132,0)),"")</f>
        <v>SQL, PYTHON, AWS, SPARK, ETL</v>
      </c>
      <c r="N451" t="s">
        <v>74</v>
      </c>
      <c r="O451" t="s">
        <v>77</v>
      </c>
    </row>
    <row r="452" spans="1:15" x14ac:dyDescent="0.25">
      <c r="A452">
        <v>18300</v>
      </c>
      <c r="B452" t="s">
        <v>15</v>
      </c>
      <c r="C452" t="s">
        <v>32</v>
      </c>
      <c r="D452" t="str">
        <f>IFERROR(INDEX(Sheet2!$B$2:$B$1132,MATCH(Sheet1!C452,Sheet1!$C$2:$C$1132,0)),"IDK")</f>
        <v>SOCIAL</v>
      </c>
      <c r="E452" t="s">
        <v>51</v>
      </c>
      <c r="F452" t="s">
        <v>54</v>
      </c>
      <c r="G452" s="1">
        <v>45318</v>
      </c>
      <c r="H452" t="s">
        <v>59</v>
      </c>
      <c r="I452" s="2" t="s">
        <v>166</v>
      </c>
      <c r="J452" s="2" t="s">
        <v>167</v>
      </c>
      <c r="K452">
        <f>IFERROR(INDEX(Sheet2!$C$2:$C$1132,MATCH(Sheet1!C452,Sheet1!$C$2:$C$1132,0)),"")</f>
        <v>20000</v>
      </c>
      <c r="L452">
        <f>IFERROR(INDEX(Sheet2!$D$2:$D$1132,MATCH(Sheet1!C452,$C$2:$C$1132,0)),"")</f>
        <v>70000</v>
      </c>
      <c r="M452" t="str">
        <f>IFERROR(INDEX($M$2:$M$1132,MATCH(B452,$B$2:$B$1132,0)),"")</f>
        <v>SQL, PYTHON, AWS, SPARK, ETL</v>
      </c>
      <c r="N452" t="s">
        <v>74</v>
      </c>
      <c r="O452" t="s">
        <v>79</v>
      </c>
    </row>
    <row r="453" spans="1:15" x14ac:dyDescent="0.25">
      <c r="A453">
        <v>18301</v>
      </c>
      <c r="B453" t="s">
        <v>15</v>
      </c>
      <c r="C453" t="s">
        <v>33</v>
      </c>
      <c r="D453" t="str">
        <f>IFERROR(INDEX(Sheet2!$B$2:$B$1132,MATCH(Sheet1!C453,Sheet1!$C$2:$C$1132,0)),"IDK")</f>
        <v>FINANCE</v>
      </c>
      <c r="E453" t="s">
        <v>51</v>
      </c>
      <c r="F453" t="s">
        <v>54</v>
      </c>
      <c r="G453" s="1">
        <v>45364</v>
      </c>
      <c r="H453" t="s">
        <v>59</v>
      </c>
      <c r="I453" s="2" t="s">
        <v>168</v>
      </c>
      <c r="J453" s="2" t="s">
        <v>169</v>
      </c>
      <c r="K453">
        <f>IFERROR(INDEX(Sheet2!$C$2:$C$1132,MATCH(Sheet1!C453,Sheet1!$C$2:$C$1132,0)),"")</f>
        <v>40000</v>
      </c>
      <c r="L453">
        <f>IFERROR(INDEX(Sheet2!$D$2:$D$1132,MATCH(Sheet1!C453,$C$2:$C$1132,0)),"")</f>
        <v>85000</v>
      </c>
      <c r="M453" t="str">
        <f>IFERROR(INDEX($M$2:$M$1132,MATCH(B453,$B$2:$B$1132,0)),"")</f>
        <v>SQL, PYTHON, AWS, SPARK, ETL</v>
      </c>
      <c r="N453" t="s">
        <v>74</v>
      </c>
      <c r="O453" t="s">
        <v>37</v>
      </c>
    </row>
    <row r="454" spans="1:15" x14ac:dyDescent="0.25">
      <c r="A454">
        <v>18302</v>
      </c>
      <c r="B454" t="s">
        <v>14</v>
      </c>
      <c r="C454" t="s">
        <v>23</v>
      </c>
      <c r="D454" t="str">
        <f>IFERROR(INDEX(Sheet2!$B$2:$B$1132,MATCH(Sheet1!C454,Sheet1!$C$2:$C$1132,0)),"IDK")</f>
        <v>IT</v>
      </c>
      <c r="E454" t="s">
        <v>51</v>
      </c>
      <c r="F454" t="s">
        <v>54</v>
      </c>
      <c r="G454" s="1">
        <v>45596</v>
      </c>
      <c r="H454" t="s">
        <v>59</v>
      </c>
      <c r="I454" s="2" t="s">
        <v>168</v>
      </c>
      <c r="J454" s="2" t="s">
        <v>170</v>
      </c>
      <c r="K454">
        <f>IFERROR(INDEX(Sheet2!$C$2:$C$1132,MATCH(Sheet1!C454,Sheet1!$C$2:$C$1132,0)),"")</f>
        <v>35000</v>
      </c>
      <c r="L454">
        <f>IFERROR(INDEX(Sheet2!$D$2:$D$1132,MATCH(Sheet1!C454,$C$2:$C$1132,0)),"")</f>
        <v>70000</v>
      </c>
      <c r="M454" t="str">
        <f>IFERROR(INDEX($M$2:$M$1132,MATCH(B454,$B$2:$B$1132,0)),"")</f>
        <v>SQL, EXCEL, POWERBI, TABLEAU</v>
      </c>
      <c r="N454" t="s">
        <v>75</v>
      </c>
      <c r="O454" t="s">
        <v>78</v>
      </c>
    </row>
    <row r="455" spans="1:15" x14ac:dyDescent="0.25">
      <c r="A455">
        <v>18303</v>
      </c>
      <c r="B455" t="s">
        <v>15</v>
      </c>
      <c r="C455" t="s">
        <v>24</v>
      </c>
      <c r="D455" t="str">
        <f>IFERROR(INDEX(Sheet2!$B$2:$B$1132,MATCH(Sheet1!C455,Sheet1!$C$2:$C$1132,0)),"IDK")</f>
        <v>HEALTH</v>
      </c>
      <c r="E455" t="s">
        <v>51</v>
      </c>
      <c r="F455" t="s">
        <v>54</v>
      </c>
      <c r="G455" s="1">
        <v>45645</v>
      </c>
      <c r="H455" t="s">
        <v>59</v>
      </c>
      <c r="I455" s="2" t="s">
        <v>171</v>
      </c>
      <c r="J455" s="2" t="s">
        <v>172</v>
      </c>
      <c r="K455">
        <f>IFERROR(INDEX(Sheet2!$C$2:$C$1132,MATCH(Sheet1!C455,Sheet1!$C$2:$C$1132,0)),"")</f>
        <v>25000</v>
      </c>
      <c r="L455">
        <f>IFERROR(INDEX(Sheet2!$D$2:$D$1132,MATCH(Sheet1!C455,$C$2:$C$1132,0)),"")</f>
        <v>50000</v>
      </c>
      <c r="M455" t="str">
        <f>IFERROR(INDEX($M$2:$M$1132,MATCH(B455,$B$2:$B$1132,0)),"")</f>
        <v>SQL, PYTHON, AWS, SPARK, ETL</v>
      </c>
      <c r="N455" t="s">
        <v>75</v>
      </c>
      <c r="O455" t="s">
        <v>80</v>
      </c>
    </row>
    <row r="456" spans="1:15" x14ac:dyDescent="0.25">
      <c r="A456">
        <v>18304</v>
      </c>
      <c r="B456" t="s">
        <v>16</v>
      </c>
      <c r="C456" t="s">
        <v>25</v>
      </c>
      <c r="D456" t="str">
        <f>IFERROR(INDEX(Sheet2!$B$2:$B$1132,MATCH(Sheet1!C456,Sheet1!$C$2:$C$1132,0)),"IDK")</f>
        <v>SOCIAL</v>
      </c>
      <c r="E456" t="s">
        <v>51</v>
      </c>
      <c r="F456" t="s">
        <v>54</v>
      </c>
      <c r="G456" s="1">
        <v>45656</v>
      </c>
      <c r="H456" t="s">
        <v>59</v>
      </c>
      <c r="I456" s="2" t="s">
        <v>171</v>
      </c>
      <c r="J456" s="2" t="s">
        <v>172</v>
      </c>
      <c r="K456">
        <f>IFERROR(INDEX(Sheet2!$C$2:$C$1132,MATCH(Sheet1!C456,Sheet1!$C$2:$C$1132,0)),"")</f>
        <v>30000</v>
      </c>
      <c r="L456">
        <f>IFERROR(INDEX(Sheet2!$D$2:$D$1132,MATCH(Sheet1!C456,$C$2:$C$1132,0)),"")</f>
        <v>60000</v>
      </c>
      <c r="M456" t="str">
        <f>IFERROR(INDEX($M$2:$M$1132,MATCH(B456,$B$2:$B$1132,0)),"")</f>
        <v>PYTHON, MACHINE LEARNING,PANDAS, NUMPY</v>
      </c>
      <c r="N456" t="s">
        <v>75</v>
      </c>
      <c r="O456" t="s">
        <v>79</v>
      </c>
    </row>
    <row r="457" spans="1:15" x14ac:dyDescent="0.25">
      <c r="A457">
        <v>18305</v>
      </c>
      <c r="B457" t="s">
        <v>17</v>
      </c>
      <c r="C457" t="s">
        <v>26</v>
      </c>
      <c r="D457" t="str">
        <f>IFERROR(INDEX(Sheet2!$B$2:$B$1132,MATCH(Sheet1!C457,Sheet1!$C$2:$C$1132,0)),"IDK")</f>
        <v>FINANCE</v>
      </c>
      <c r="E457" t="s">
        <v>51</v>
      </c>
      <c r="F457" t="s">
        <v>54</v>
      </c>
      <c r="G457" s="1">
        <v>45443</v>
      </c>
      <c r="H457" t="s">
        <v>59</v>
      </c>
      <c r="I457" s="2" t="s">
        <v>161</v>
      </c>
      <c r="J457" s="2" t="s">
        <v>162</v>
      </c>
      <c r="K457">
        <f>IFERROR(INDEX(Sheet2!$C$2:$C$1132,MATCH(Sheet1!C457,Sheet1!$C$2:$C$1132,0)),"")</f>
        <v>35000</v>
      </c>
      <c r="L457">
        <f>IFERROR(INDEX(Sheet2!$D$2:$D$1132,MATCH(Sheet1!C457,$C$2:$C$1132,0)),"")</f>
        <v>75000</v>
      </c>
      <c r="M457" t="str">
        <f>IFERROR(INDEX($M$2:$M$1132,MATCH(B457,$B$2:$B$1132,0)),"")</f>
        <v>EXCEL, SQL, TABLEAU, BUSINESS ANALYSIS</v>
      </c>
      <c r="N457" t="s">
        <v>75</v>
      </c>
      <c r="O457" t="s">
        <v>37</v>
      </c>
    </row>
    <row r="458" spans="1:15" x14ac:dyDescent="0.25">
      <c r="A458">
        <v>18306</v>
      </c>
      <c r="B458" t="s">
        <v>18</v>
      </c>
      <c r="C458" t="s">
        <v>27</v>
      </c>
      <c r="D458" t="str">
        <f>IFERROR(INDEX(Sheet2!$B$2:$B$1132,MATCH(Sheet1!C458,Sheet1!$C$2:$C$1132,0)),"IDK")</f>
        <v>IT</v>
      </c>
      <c r="E458" t="s">
        <v>51</v>
      </c>
      <c r="F458" t="s">
        <v>54</v>
      </c>
      <c r="G458" s="1">
        <v>45537</v>
      </c>
      <c r="H458" t="s">
        <v>59</v>
      </c>
      <c r="I458" s="2" t="s">
        <v>161</v>
      </c>
      <c r="J458" s="2" t="s">
        <v>163</v>
      </c>
      <c r="K458">
        <f>IFERROR(INDEX(Sheet2!$C$2:$C$1132,MATCH(Sheet1!C458,Sheet1!$C$2:$C$1132,0)),"")</f>
        <v>40000</v>
      </c>
      <c r="L458">
        <f>IFERROR(INDEX(Sheet2!$D$2:$D$1132,MATCH(Sheet1!C458,$C$2:$C$1132,0)),"")</f>
        <v>80000</v>
      </c>
      <c r="M458" t="str">
        <f>IFERROR(INDEX($M$2:$M$1132,MATCH(B458,$B$2:$B$1132,0)),"")</f>
        <v>EXCEL, SQL, FINANCIAL MODELLING, BUDGETING</v>
      </c>
      <c r="N458" t="s">
        <v>75</v>
      </c>
      <c r="O458" t="s">
        <v>78</v>
      </c>
    </row>
    <row r="459" spans="1:15" x14ac:dyDescent="0.25">
      <c r="A459">
        <v>18307</v>
      </c>
      <c r="B459" t="s">
        <v>19</v>
      </c>
      <c r="C459" t="s">
        <v>28</v>
      </c>
      <c r="D459" t="str">
        <f>IFERROR(INDEX(Sheet2!$B$2:$B$1132,MATCH(Sheet1!C459,Sheet1!$C$2:$C$1132,0)),"IDK")</f>
        <v>IT</v>
      </c>
      <c r="E459" t="s">
        <v>51</v>
      </c>
      <c r="F459" t="s">
        <v>54</v>
      </c>
      <c r="G459" s="1">
        <v>45375</v>
      </c>
      <c r="H459" t="s">
        <v>59</v>
      </c>
      <c r="I459" s="2" t="s">
        <v>164</v>
      </c>
      <c r="J459" s="2" t="s">
        <v>165</v>
      </c>
      <c r="K459">
        <f>IFERROR(INDEX(Sheet2!$C$2:$C$1132,MATCH(Sheet1!C459,Sheet1!$C$2:$C$1132,0)),"")</f>
        <v>30000</v>
      </c>
      <c r="L459">
        <f>IFERROR(INDEX(Sheet2!$D$2:$D$1132,MATCH(Sheet1!C459,$C$2:$C$1132,0)),"")</f>
        <v>55000</v>
      </c>
      <c r="M459" t="str">
        <f>IFERROR(INDEX($M$2:$M$1132,MATCH(B459,$B$2:$B$1132,0)),"")</f>
        <v>NETWORK SECURITY, ETHICAL HACKING, RISK ASSESSMENT</v>
      </c>
      <c r="N459" t="s">
        <v>76</v>
      </c>
      <c r="O459" t="s">
        <v>79</v>
      </c>
    </row>
    <row r="460" spans="1:15" x14ac:dyDescent="0.25">
      <c r="A460">
        <v>18308</v>
      </c>
      <c r="B460" t="s">
        <v>20</v>
      </c>
      <c r="C460" t="s">
        <v>29</v>
      </c>
      <c r="D460" t="str">
        <f>IFERROR(INDEX(Sheet2!$B$2:$B$1132,MATCH(Sheet1!C460,Sheet1!$C$2:$C$1132,0)),"IDK")</f>
        <v>IT</v>
      </c>
      <c r="E460" t="s">
        <v>51</v>
      </c>
      <c r="F460" t="s">
        <v>54</v>
      </c>
      <c r="G460" s="1">
        <v>45348</v>
      </c>
      <c r="H460" t="s">
        <v>59</v>
      </c>
      <c r="I460" s="2" t="s">
        <v>166</v>
      </c>
      <c r="J460" s="2" t="s">
        <v>167</v>
      </c>
      <c r="K460">
        <f>IFERROR(INDEX(Sheet2!$C$2:$C$1132,MATCH(Sheet1!C460,Sheet1!$C$2:$C$1132,0)),"")</f>
        <v>35000</v>
      </c>
      <c r="L460">
        <f>IFERROR(INDEX(Sheet2!$D$2:$D$1132,MATCH(Sheet1!C460,$C$2:$C$1132,0)),"")</f>
        <v>70000</v>
      </c>
      <c r="M460" t="str">
        <f>IFERROR(INDEX($M$2:$M$1132,MATCH(B460,$B$2:$B$1132,0)),"")</f>
        <v>CLOUD, NETWORK, MACHINE LEARNING</v>
      </c>
      <c r="N460" t="s">
        <v>76</v>
      </c>
      <c r="O460" t="s">
        <v>80</v>
      </c>
    </row>
    <row r="461" spans="1:15" x14ac:dyDescent="0.25">
      <c r="A461">
        <v>18309</v>
      </c>
      <c r="B461" t="s">
        <v>21</v>
      </c>
      <c r="C461" t="s">
        <v>23</v>
      </c>
      <c r="D461" t="str">
        <f>IFERROR(INDEX(Sheet2!$B$2:$B$1132,MATCH(Sheet1!C461,Sheet1!$C$2:$C$1132,0)),"IDK")</f>
        <v>IT</v>
      </c>
      <c r="E461" t="s">
        <v>51</v>
      </c>
      <c r="F461" t="s">
        <v>54</v>
      </c>
      <c r="G461" s="1">
        <v>45337</v>
      </c>
      <c r="H461" t="s">
        <v>59</v>
      </c>
      <c r="I461" s="2" t="s">
        <v>168</v>
      </c>
      <c r="J461" s="2" t="s">
        <v>169</v>
      </c>
      <c r="K461">
        <f>IFERROR(INDEX(Sheet2!$C$2:$C$1132,MATCH(Sheet1!C461,Sheet1!$C$2:$C$1132,0)),"")</f>
        <v>35000</v>
      </c>
      <c r="L461">
        <f>IFERROR(INDEX(Sheet2!$D$2:$D$1132,MATCH(Sheet1!C461,$C$2:$C$1132,0)),"")</f>
        <v>70000</v>
      </c>
      <c r="M461" t="str">
        <f>IFERROR(INDEX($M$2:$M$1132,MATCH(B461,$B$2:$B$1132,0)),"")</f>
        <v>RISK ANALYSIS, DATA ANALYSIS, EXCEL, STATISTICS</v>
      </c>
      <c r="N461" t="s">
        <v>76</v>
      </c>
      <c r="O461" t="s">
        <v>77</v>
      </c>
    </row>
    <row r="462" spans="1:15" x14ac:dyDescent="0.25">
      <c r="A462">
        <v>18310</v>
      </c>
      <c r="B462" t="s">
        <v>22</v>
      </c>
      <c r="C462" t="s">
        <v>30</v>
      </c>
      <c r="D462" t="str">
        <f>IFERROR(INDEX(Sheet2!$B$2:$B$1132,MATCH(Sheet1!C462,Sheet1!$C$2:$C$1132,0)),"IDK")</f>
        <v>IT</v>
      </c>
      <c r="E462" t="s">
        <v>51</v>
      </c>
      <c r="F462" t="s">
        <v>54</v>
      </c>
      <c r="G462" s="1">
        <v>45534</v>
      </c>
      <c r="H462" t="s">
        <v>59</v>
      </c>
      <c r="I462" s="2" t="s">
        <v>168</v>
      </c>
      <c r="J462" s="2" t="s">
        <v>170</v>
      </c>
      <c r="K462">
        <f>IFERROR(INDEX(Sheet2!$C$2:$C$1132,MATCH(Sheet1!C462,Sheet1!$C$2:$C$1132,0)),"")</f>
        <v>25000</v>
      </c>
      <c r="L462">
        <f>IFERROR(INDEX(Sheet2!$D$2:$D$1132,MATCH(Sheet1!C462,$C$2:$C$1132,0)),"")</f>
        <v>60000</v>
      </c>
      <c r="M462" t="str">
        <f>IFERROR(INDEX($M$2:$M$1132,MATCH(B462,$B$2:$B$1132,0)),"")</f>
        <v>GOOGLE ANALYTICS, SEO, SOCIAL MEDIA ANALYTICS, EXCEL</v>
      </c>
      <c r="N462" t="s">
        <v>76</v>
      </c>
      <c r="O462" t="s">
        <v>79</v>
      </c>
    </row>
    <row r="463" spans="1:15" x14ac:dyDescent="0.25">
      <c r="A463">
        <v>18311</v>
      </c>
      <c r="B463" t="s">
        <v>14</v>
      </c>
      <c r="C463" t="s">
        <v>31</v>
      </c>
      <c r="D463" t="str">
        <f>IFERROR(INDEX(Sheet2!$B$2:$B$1132,MATCH(Sheet1!C463,Sheet1!$C$2:$C$1132,0)),"IDK")</f>
        <v>IT</v>
      </c>
      <c r="E463" t="s">
        <v>51</v>
      </c>
      <c r="F463" t="s">
        <v>54</v>
      </c>
      <c r="G463" s="1">
        <v>45603</v>
      </c>
      <c r="H463" t="s">
        <v>59</v>
      </c>
      <c r="I463" s="2" t="s">
        <v>171</v>
      </c>
      <c r="J463" s="2" t="s">
        <v>172</v>
      </c>
      <c r="K463">
        <f>IFERROR(INDEX(Sheet2!$C$2:$C$1132,MATCH(Sheet1!C463,Sheet1!$C$2:$C$1132,0)),"")</f>
        <v>25000</v>
      </c>
      <c r="L463">
        <f>IFERROR(INDEX(Sheet2!$D$2:$D$1132,MATCH(Sheet1!C463,$C$2:$C$1132,0)),"")</f>
        <v>75000</v>
      </c>
      <c r="M463" t="str">
        <f>IFERROR(INDEX($M$2:$M$1132,MATCH(B463,$B$2:$B$1132,0)),"")</f>
        <v>SQL, EXCEL, POWERBI, TABLEAU</v>
      </c>
      <c r="N463" t="s">
        <v>76</v>
      </c>
      <c r="O463" t="s">
        <v>37</v>
      </c>
    </row>
    <row r="464" spans="1:15" x14ac:dyDescent="0.25">
      <c r="A464">
        <v>18312</v>
      </c>
      <c r="B464" t="s">
        <v>15</v>
      </c>
      <c r="C464" t="s">
        <v>32</v>
      </c>
      <c r="D464" t="str">
        <f>IFERROR(INDEX(Sheet2!$B$2:$B$1132,MATCH(Sheet1!C464,Sheet1!$C$2:$C$1132,0)),"IDK")</f>
        <v>SOCIAL</v>
      </c>
      <c r="E464" t="s">
        <v>51</v>
      </c>
      <c r="F464" t="s">
        <v>54</v>
      </c>
      <c r="G464" s="1">
        <v>45319</v>
      </c>
      <c r="H464" t="s">
        <v>59</v>
      </c>
      <c r="I464" s="2" t="s">
        <v>168</v>
      </c>
      <c r="J464" s="2" t="s">
        <v>170</v>
      </c>
      <c r="K464">
        <f>IFERROR(INDEX(Sheet2!$C$2:$C$1132,MATCH(Sheet1!C464,Sheet1!$C$2:$C$1132,0)),"")</f>
        <v>20000</v>
      </c>
      <c r="L464">
        <f>IFERROR(INDEX(Sheet2!$D$2:$D$1132,MATCH(Sheet1!C464,$C$2:$C$1132,0)),"")</f>
        <v>70000</v>
      </c>
      <c r="M464" t="str">
        <f>IFERROR(INDEX($M$2:$M$1132,MATCH(B464,$B$2:$B$1132,0)),"")</f>
        <v>SQL, PYTHON, AWS, SPARK, ETL</v>
      </c>
      <c r="N464" t="s">
        <v>76</v>
      </c>
      <c r="O464" t="s">
        <v>78</v>
      </c>
    </row>
    <row r="465" spans="1:15" x14ac:dyDescent="0.25">
      <c r="A465">
        <v>18313</v>
      </c>
      <c r="B465" t="s">
        <v>16</v>
      </c>
      <c r="C465" t="s">
        <v>33</v>
      </c>
      <c r="D465" t="str">
        <f>IFERROR(INDEX(Sheet2!$B$2:$B$1132,MATCH(Sheet1!C465,Sheet1!$C$2:$C$1132,0)),"IDK")</f>
        <v>FINANCE</v>
      </c>
      <c r="E465" t="s">
        <v>51</v>
      </c>
      <c r="F465" t="s">
        <v>54</v>
      </c>
      <c r="G465" s="1">
        <v>45407</v>
      </c>
      <c r="H465" t="s">
        <v>59</v>
      </c>
      <c r="I465" s="2" t="s">
        <v>171</v>
      </c>
      <c r="J465" s="2" t="s">
        <v>172</v>
      </c>
      <c r="K465">
        <f>IFERROR(INDEX(Sheet2!$C$2:$C$1132,MATCH(Sheet1!C465,Sheet1!$C$2:$C$1132,0)),"")</f>
        <v>40000</v>
      </c>
      <c r="L465">
        <f>IFERROR(INDEX(Sheet2!$D$2:$D$1132,MATCH(Sheet1!C465,$C$2:$C$1132,0)),"")</f>
        <v>85000</v>
      </c>
      <c r="M465" t="str">
        <f>IFERROR(INDEX($M$2:$M$1132,MATCH(B465,$B$2:$B$1132,0)),"")</f>
        <v>PYTHON, MACHINE LEARNING,PANDAS, NUMPY</v>
      </c>
      <c r="N465" t="s">
        <v>74</v>
      </c>
      <c r="O465" t="s">
        <v>80</v>
      </c>
    </row>
    <row r="466" spans="1:15" x14ac:dyDescent="0.25">
      <c r="A466">
        <v>18314</v>
      </c>
      <c r="B466" t="s">
        <v>17</v>
      </c>
      <c r="C466" t="s">
        <v>24</v>
      </c>
      <c r="D466" t="str">
        <f>IFERROR(INDEX(Sheet2!$B$2:$B$1132,MATCH(Sheet1!C466,Sheet1!$C$2:$C$1132,0)),"IDK")</f>
        <v>HEALTH</v>
      </c>
      <c r="E466" t="s">
        <v>51</v>
      </c>
      <c r="F466" t="s">
        <v>54</v>
      </c>
      <c r="G466" s="1">
        <v>45533</v>
      </c>
      <c r="H466" t="s">
        <v>59</v>
      </c>
      <c r="I466" s="2" t="s">
        <v>161</v>
      </c>
      <c r="J466" s="2" t="s">
        <v>162</v>
      </c>
      <c r="K466">
        <f>IFERROR(INDEX(Sheet2!$C$2:$C$1132,MATCH(Sheet1!C466,Sheet1!$C$2:$C$1132,0)),"")</f>
        <v>25000</v>
      </c>
      <c r="L466">
        <f>IFERROR(INDEX(Sheet2!$D$2:$D$1132,MATCH(Sheet1!C466,$C$2:$C$1132,0)),"")</f>
        <v>50000</v>
      </c>
      <c r="M466" t="str">
        <f>IFERROR(INDEX($M$2:$M$1132,MATCH(B466,$B$2:$B$1132,0)),"")</f>
        <v>EXCEL, SQL, TABLEAU, BUSINESS ANALYSIS</v>
      </c>
      <c r="N466" t="s">
        <v>74</v>
      </c>
      <c r="O466" t="s">
        <v>79</v>
      </c>
    </row>
    <row r="467" spans="1:15" x14ac:dyDescent="0.25">
      <c r="A467">
        <v>18315</v>
      </c>
      <c r="B467" t="s">
        <v>18</v>
      </c>
      <c r="C467" t="s">
        <v>25</v>
      </c>
      <c r="D467" t="str">
        <f>IFERROR(INDEX(Sheet2!$B$2:$B$1132,MATCH(Sheet1!C467,Sheet1!$C$2:$C$1132,0)),"IDK")</f>
        <v>SOCIAL</v>
      </c>
      <c r="E467" t="s">
        <v>51</v>
      </c>
      <c r="F467" t="s">
        <v>54</v>
      </c>
      <c r="G467" s="1">
        <v>45318</v>
      </c>
      <c r="H467" t="s">
        <v>59</v>
      </c>
      <c r="I467" s="2" t="s">
        <v>161</v>
      </c>
      <c r="J467" s="2" t="s">
        <v>163</v>
      </c>
      <c r="K467">
        <f>IFERROR(INDEX(Sheet2!$C$2:$C$1132,MATCH(Sheet1!C467,Sheet1!$C$2:$C$1132,0)),"")</f>
        <v>30000</v>
      </c>
      <c r="L467">
        <f>IFERROR(INDEX(Sheet2!$D$2:$D$1132,MATCH(Sheet1!C467,$C$2:$C$1132,0)),"")</f>
        <v>60000</v>
      </c>
      <c r="M467" t="str">
        <f>IFERROR(INDEX($M$2:$M$1132,MATCH(B467,$B$2:$B$1132,0)),"")</f>
        <v>EXCEL, SQL, FINANCIAL MODELLING, BUDGETING</v>
      </c>
      <c r="N467" t="s">
        <v>74</v>
      </c>
      <c r="O467" t="s">
        <v>37</v>
      </c>
    </row>
    <row r="468" spans="1:15" x14ac:dyDescent="0.25">
      <c r="A468">
        <v>18316</v>
      </c>
      <c r="B468" t="s">
        <v>19</v>
      </c>
      <c r="C468" t="s">
        <v>26</v>
      </c>
      <c r="D468" t="str">
        <f>IFERROR(INDEX(Sheet2!$B$2:$B$1132,MATCH(Sheet1!C468,Sheet1!$C$2:$C$1132,0)),"IDK")</f>
        <v>FINANCE</v>
      </c>
      <c r="E468" t="s">
        <v>51</v>
      </c>
      <c r="F468" t="s">
        <v>54</v>
      </c>
      <c r="G468" s="1">
        <v>45637</v>
      </c>
      <c r="H468" t="s">
        <v>59</v>
      </c>
      <c r="I468" s="2" t="s">
        <v>164</v>
      </c>
      <c r="J468" s="2" t="s">
        <v>165</v>
      </c>
      <c r="K468">
        <f>IFERROR(INDEX(Sheet2!$C$2:$C$1132,MATCH(Sheet1!C468,Sheet1!$C$2:$C$1132,0)),"")</f>
        <v>35000</v>
      </c>
      <c r="L468">
        <f>IFERROR(INDEX(Sheet2!$D$2:$D$1132,MATCH(Sheet1!C468,$C$2:$C$1132,0)),"")</f>
        <v>75000</v>
      </c>
      <c r="M468" t="str">
        <f>IFERROR(INDEX($M$2:$M$1132,MATCH(B468,$B$2:$B$1132,0)),"")</f>
        <v>NETWORK SECURITY, ETHICAL HACKING, RISK ASSESSMENT</v>
      </c>
      <c r="N468" t="s">
        <v>74</v>
      </c>
      <c r="O468" t="s">
        <v>78</v>
      </c>
    </row>
    <row r="469" spans="1:15" x14ac:dyDescent="0.25">
      <c r="A469">
        <v>18317</v>
      </c>
      <c r="B469" t="s">
        <v>20</v>
      </c>
      <c r="C469" t="s">
        <v>27</v>
      </c>
      <c r="D469" t="str">
        <f>IFERROR(INDEX(Sheet2!$B$2:$B$1132,MATCH(Sheet1!C469,Sheet1!$C$2:$C$1132,0)),"IDK")</f>
        <v>IT</v>
      </c>
      <c r="E469" t="s">
        <v>51</v>
      </c>
      <c r="F469" t="s">
        <v>54</v>
      </c>
      <c r="G469" s="1">
        <v>45421</v>
      </c>
      <c r="H469" t="s">
        <v>59</v>
      </c>
      <c r="I469" s="2" t="s">
        <v>168</v>
      </c>
      <c r="J469" s="2" t="s">
        <v>170</v>
      </c>
      <c r="K469">
        <f>IFERROR(INDEX(Sheet2!$C$2:$C$1132,MATCH(Sheet1!C469,Sheet1!$C$2:$C$1132,0)),"")</f>
        <v>40000</v>
      </c>
      <c r="L469">
        <f>IFERROR(INDEX(Sheet2!$D$2:$D$1132,MATCH(Sheet1!C469,$C$2:$C$1132,0)),"")</f>
        <v>80000</v>
      </c>
      <c r="M469" t="str">
        <f>IFERROR(INDEX($M$2:$M$1132,MATCH(B469,$B$2:$B$1132,0)),"")</f>
        <v>CLOUD, NETWORK, MACHINE LEARNING</v>
      </c>
      <c r="N469" t="s">
        <v>74</v>
      </c>
      <c r="O469" t="s">
        <v>79</v>
      </c>
    </row>
    <row r="470" spans="1:15" x14ac:dyDescent="0.25">
      <c r="A470">
        <v>18318</v>
      </c>
      <c r="B470" t="s">
        <v>21</v>
      </c>
      <c r="C470" t="s">
        <v>28</v>
      </c>
      <c r="D470" t="str">
        <f>IFERROR(INDEX(Sheet2!$B$2:$B$1132,MATCH(Sheet1!C470,Sheet1!$C$2:$C$1132,0)),"IDK")</f>
        <v>IT</v>
      </c>
      <c r="E470" t="s">
        <v>51</v>
      </c>
      <c r="F470" t="s">
        <v>54</v>
      </c>
      <c r="G470" s="1">
        <v>45326</v>
      </c>
      <c r="H470" t="s">
        <v>59</v>
      </c>
      <c r="I470" s="2" t="s">
        <v>171</v>
      </c>
      <c r="J470" s="2" t="s">
        <v>172</v>
      </c>
      <c r="K470">
        <f>IFERROR(INDEX(Sheet2!$C$2:$C$1132,MATCH(Sheet1!C470,Sheet1!$C$2:$C$1132,0)),"")</f>
        <v>30000</v>
      </c>
      <c r="L470">
        <f>IFERROR(INDEX(Sheet2!$D$2:$D$1132,MATCH(Sheet1!C470,$C$2:$C$1132,0)),"")</f>
        <v>55000</v>
      </c>
      <c r="M470" t="str">
        <f>IFERROR(INDEX($M$2:$M$1132,MATCH(B470,$B$2:$B$1132,0)),"")</f>
        <v>RISK ANALYSIS, DATA ANALYSIS, EXCEL, STATISTICS</v>
      </c>
      <c r="N470" t="s">
        <v>74</v>
      </c>
      <c r="O470" t="s">
        <v>80</v>
      </c>
    </row>
    <row r="471" spans="1:15" x14ac:dyDescent="0.25">
      <c r="A471">
        <v>18319</v>
      </c>
      <c r="B471" t="s">
        <v>22</v>
      </c>
      <c r="C471" t="s">
        <v>29</v>
      </c>
      <c r="D471" t="str">
        <f>IFERROR(INDEX(Sheet2!$B$2:$B$1132,MATCH(Sheet1!C471,Sheet1!$C$2:$C$1132,0)),"IDK")</f>
        <v>IT</v>
      </c>
      <c r="E471" t="s">
        <v>51</v>
      </c>
      <c r="F471" t="s">
        <v>54</v>
      </c>
      <c r="G471" s="1">
        <v>45368</v>
      </c>
      <c r="H471" t="s">
        <v>59</v>
      </c>
      <c r="I471" s="2" t="s">
        <v>161</v>
      </c>
      <c r="J471" s="2" t="s">
        <v>162</v>
      </c>
      <c r="K471">
        <f>IFERROR(INDEX(Sheet2!$C$2:$C$1132,MATCH(Sheet1!C471,Sheet1!$C$2:$C$1132,0)),"")</f>
        <v>35000</v>
      </c>
      <c r="L471">
        <f>IFERROR(INDEX(Sheet2!$D$2:$D$1132,MATCH(Sheet1!C471,$C$2:$C$1132,0)),"")</f>
        <v>70000</v>
      </c>
      <c r="M471" t="str">
        <f>IFERROR(INDEX($M$2:$M$1132,MATCH(B471,$B$2:$B$1132,0)),"")</f>
        <v>GOOGLE ANALYTICS, SEO, SOCIAL MEDIA ANALYTICS, EXCEL</v>
      </c>
      <c r="N471" t="s">
        <v>75</v>
      </c>
      <c r="O471" t="s">
        <v>77</v>
      </c>
    </row>
    <row r="472" spans="1:15" x14ac:dyDescent="0.25">
      <c r="A472">
        <v>18320</v>
      </c>
      <c r="B472" t="s">
        <v>20</v>
      </c>
      <c r="C472" t="s">
        <v>23</v>
      </c>
      <c r="D472" t="str">
        <f>IFERROR(INDEX(Sheet2!$B$2:$B$1132,MATCH(Sheet1!C472,Sheet1!$C$2:$C$1132,0)),"IDK")</f>
        <v>IT</v>
      </c>
      <c r="E472" t="s">
        <v>51</v>
      </c>
      <c r="F472" t="s">
        <v>54</v>
      </c>
      <c r="G472" s="1">
        <v>45517</v>
      </c>
      <c r="H472" t="s">
        <v>59</v>
      </c>
      <c r="I472" s="2" t="s">
        <v>161</v>
      </c>
      <c r="J472" s="2" t="s">
        <v>163</v>
      </c>
      <c r="K472">
        <f>IFERROR(INDEX(Sheet2!$C$2:$C$1132,MATCH(Sheet1!C472,Sheet1!$C$2:$C$1132,0)),"")</f>
        <v>35000</v>
      </c>
      <c r="L472">
        <f>IFERROR(INDEX(Sheet2!$D$2:$D$1132,MATCH(Sheet1!C472,$C$2:$C$1132,0)),"")</f>
        <v>70000</v>
      </c>
      <c r="M472" t="str">
        <f>IFERROR(INDEX($M$2:$M$1132,MATCH(B472,$B$2:$B$1132,0)),"")</f>
        <v>CLOUD, NETWORK, MACHINE LEARNING</v>
      </c>
      <c r="N472" t="s">
        <v>75</v>
      </c>
      <c r="O472" t="s">
        <v>79</v>
      </c>
    </row>
    <row r="473" spans="1:15" x14ac:dyDescent="0.25">
      <c r="A473">
        <v>18321</v>
      </c>
      <c r="B473" t="s">
        <v>20</v>
      </c>
      <c r="C473" t="s">
        <v>30</v>
      </c>
      <c r="D473" t="str">
        <f>IFERROR(INDEX(Sheet2!$B$2:$B$1132,MATCH(Sheet1!C473,Sheet1!$C$2:$C$1132,0)),"IDK")</f>
        <v>IT</v>
      </c>
      <c r="E473" t="s">
        <v>51</v>
      </c>
      <c r="F473" t="s">
        <v>54</v>
      </c>
      <c r="G473" s="1">
        <v>45468</v>
      </c>
      <c r="H473" t="s">
        <v>59</v>
      </c>
      <c r="I473" s="2" t="s">
        <v>164</v>
      </c>
      <c r="J473" s="2" t="s">
        <v>165</v>
      </c>
      <c r="K473">
        <f>IFERROR(INDEX(Sheet2!$C$2:$C$1132,MATCH(Sheet1!C473,Sheet1!$C$2:$C$1132,0)),"")</f>
        <v>25000</v>
      </c>
      <c r="L473">
        <f>IFERROR(INDEX(Sheet2!$D$2:$D$1132,MATCH(Sheet1!C473,$C$2:$C$1132,0)),"")</f>
        <v>60000</v>
      </c>
      <c r="M473" t="str">
        <f>IFERROR(INDEX($M$2:$M$1132,MATCH(B473,$B$2:$B$1132,0)),"")</f>
        <v>CLOUD, NETWORK, MACHINE LEARNING</v>
      </c>
      <c r="N473" t="s">
        <v>75</v>
      </c>
      <c r="O473" t="s">
        <v>37</v>
      </c>
    </row>
    <row r="474" spans="1:15" x14ac:dyDescent="0.25">
      <c r="A474">
        <v>18322</v>
      </c>
      <c r="B474" t="s">
        <v>20</v>
      </c>
      <c r="C474" t="s">
        <v>31</v>
      </c>
      <c r="D474" t="str">
        <f>IFERROR(INDEX(Sheet2!$B$2:$B$1132,MATCH(Sheet1!C474,Sheet1!$C$2:$C$1132,0)),"IDK")</f>
        <v>IT</v>
      </c>
      <c r="E474" t="s">
        <v>51</v>
      </c>
      <c r="F474" t="s">
        <v>54</v>
      </c>
      <c r="G474" s="1">
        <v>45530</v>
      </c>
      <c r="H474" t="s">
        <v>59</v>
      </c>
      <c r="I474" s="2" t="s">
        <v>166</v>
      </c>
      <c r="J474" s="2" t="s">
        <v>167</v>
      </c>
      <c r="K474">
        <f>IFERROR(INDEX(Sheet2!$C$2:$C$1132,MATCH(Sheet1!C474,Sheet1!$C$2:$C$1132,0)),"")</f>
        <v>25000</v>
      </c>
      <c r="L474">
        <f>IFERROR(INDEX(Sheet2!$D$2:$D$1132,MATCH(Sheet1!C474,$C$2:$C$1132,0)),"")</f>
        <v>75000</v>
      </c>
      <c r="M474" t="str">
        <f>IFERROR(INDEX($M$2:$M$1132,MATCH(B474,$B$2:$B$1132,0)),"")</f>
        <v>CLOUD, NETWORK, MACHINE LEARNING</v>
      </c>
      <c r="N474" t="s">
        <v>75</v>
      </c>
      <c r="O474" t="s">
        <v>78</v>
      </c>
    </row>
    <row r="475" spans="1:15" x14ac:dyDescent="0.25">
      <c r="A475">
        <v>18323</v>
      </c>
      <c r="B475" t="s">
        <v>20</v>
      </c>
      <c r="C475" t="s">
        <v>32</v>
      </c>
      <c r="D475" t="str">
        <f>IFERROR(INDEX(Sheet2!$B$2:$B$1132,MATCH(Sheet1!C475,Sheet1!$C$2:$C$1132,0)),"IDK")</f>
        <v>SOCIAL</v>
      </c>
      <c r="E475" t="s">
        <v>51</v>
      </c>
      <c r="F475" t="s">
        <v>54</v>
      </c>
      <c r="G475" s="1">
        <v>45431</v>
      </c>
      <c r="H475" t="s">
        <v>59</v>
      </c>
      <c r="I475" s="2" t="s">
        <v>168</v>
      </c>
      <c r="J475" s="2" t="s">
        <v>169</v>
      </c>
      <c r="K475">
        <f>IFERROR(INDEX(Sheet2!$C$2:$C$1132,MATCH(Sheet1!C475,Sheet1!$C$2:$C$1132,0)),"")</f>
        <v>20000</v>
      </c>
      <c r="L475">
        <f>IFERROR(INDEX(Sheet2!$D$2:$D$1132,MATCH(Sheet1!C475,$C$2:$C$1132,0)),"")</f>
        <v>70000</v>
      </c>
      <c r="M475" t="str">
        <f>IFERROR(INDEX($M$2:$M$1132,MATCH(B475,$B$2:$B$1132,0)),"")</f>
        <v>CLOUD, NETWORK, MACHINE LEARNING</v>
      </c>
      <c r="N475" t="s">
        <v>75</v>
      </c>
      <c r="O475" t="s">
        <v>78</v>
      </c>
    </row>
    <row r="476" spans="1:15" x14ac:dyDescent="0.25">
      <c r="A476">
        <v>18324</v>
      </c>
      <c r="B476" t="s">
        <v>20</v>
      </c>
      <c r="C476" t="s">
        <v>33</v>
      </c>
      <c r="D476" t="str">
        <f>IFERROR(INDEX(Sheet2!$B$2:$B$1132,MATCH(Sheet1!C476,Sheet1!$C$2:$C$1132,0)),"IDK")</f>
        <v>FINANCE</v>
      </c>
      <c r="E476" t="s">
        <v>51</v>
      </c>
      <c r="F476" t="s">
        <v>54</v>
      </c>
      <c r="G476" s="1">
        <v>45443</v>
      </c>
      <c r="H476" t="s">
        <v>59</v>
      </c>
      <c r="I476" s="2" t="s">
        <v>161</v>
      </c>
      <c r="J476" s="2" t="s">
        <v>162</v>
      </c>
      <c r="K476">
        <f>IFERROR(INDEX(Sheet2!$C$2:$C$1132,MATCH(Sheet1!C476,Sheet1!$C$2:$C$1132,0)),"")</f>
        <v>40000</v>
      </c>
      <c r="L476">
        <f>IFERROR(INDEX(Sheet2!$D$2:$D$1132,MATCH(Sheet1!C476,$C$2:$C$1132,0)),"")</f>
        <v>85000</v>
      </c>
      <c r="M476" t="str">
        <f>IFERROR(INDEX($M$2:$M$1132,MATCH(B476,$B$2:$B$1132,0)),"")</f>
        <v>CLOUD, NETWORK, MACHINE LEARNING</v>
      </c>
      <c r="N476" t="s">
        <v>76</v>
      </c>
      <c r="O476" t="s">
        <v>79</v>
      </c>
    </row>
    <row r="477" spans="1:15" x14ac:dyDescent="0.25">
      <c r="A477">
        <v>18325</v>
      </c>
      <c r="B477" t="s">
        <v>20</v>
      </c>
      <c r="C477" t="s">
        <v>34</v>
      </c>
      <c r="D477" t="str">
        <f>IFERROR(INDEX(Sheet2!$B$2:$B$1132,MATCH(Sheet1!C477,Sheet1!$C$2:$C$1132,0)),"IDK")</f>
        <v>IT</v>
      </c>
      <c r="E477" t="s">
        <v>51</v>
      </c>
      <c r="F477" t="s">
        <v>54</v>
      </c>
      <c r="G477" s="1">
        <v>45391</v>
      </c>
      <c r="H477" t="s">
        <v>59</v>
      </c>
      <c r="I477" s="2" t="s">
        <v>161</v>
      </c>
      <c r="J477" s="2" t="s">
        <v>163</v>
      </c>
      <c r="K477">
        <f>IFERROR(INDEX(Sheet2!$C$2:$C$1132,MATCH(Sheet1!C477,Sheet1!$C$2:$C$1132,0)),"")</f>
        <v>35000</v>
      </c>
      <c r="L477">
        <f>IFERROR(INDEX(Sheet2!$D$2:$D$1132,MATCH(Sheet1!C477,$C$2:$C$1132,0)),"")</f>
        <v>90000</v>
      </c>
      <c r="M477" t="str">
        <f>IFERROR(INDEX($M$2:$M$1132,MATCH(B477,$B$2:$B$1132,0)),"")</f>
        <v>CLOUD, NETWORK, MACHINE LEARNING</v>
      </c>
      <c r="N477" t="s">
        <v>76</v>
      </c>
      <c r="O477" t="s">
        <v>80</v>
      </c>
    </row>
    <row r="478" spans="1:15" x14ac:dyDescent="0.25">
      <c r="A478">
        <v>18326</v>
      </c>
      <c r="B478" t="s">
        <v>20</v>
      </c>
      <c r="C478" t="s">
        <v>35</v>
      </c>
      <c r="D478" t="str">
        <f>IFERROR(INDEX(Sheet2!$B$2:$B$1132,MATCH(Sheet1!C478,Sheet1!$C$2:$C$1132,0)),"IDK")</f>
        <v>SOCIAL</v>
      </c>
      <c r="E478" t="s">
        <v>51</v>
      </c>
      <c r="F478" t="s">
        <v>54</v>
      </c>
      <c r="G478" s="1">
        <v>45330</v>
      </c>
      <c r="H478" t="s">
        <v>59</v>
      </c>
      <c r="I478" s="2" t="s">
        <v>164</v>
      </c>
      <c r="J478" s="2" t="s">
        <v>165</v>
      </c>
      <c r="K478">
        <f>IFERROR(INDEX(Sheet2!$C$2:$C$1132,MATCH(Sheet1!C478,Sheet1!$C$2:$C$1132,0)),"")</f>
        <v>30000</v>
      </c>
      <c r="L478">
        <f>IFERROR(INDEX(Sheet2!$D$2:$D$1132,MATCH(Sheet1!C478,$C$2:$C$1132,0)),"")</f>
        <v>95000</v>
      </c>
      <c r="M478" t="str">
        <f>IFERROR(INDEX($M$2:$M$1132,MATCH(B478,$B$2:$B$1132,0)),"")</f>
        <v>CLOUD, NETWORK, MACHINE LEARNING</v>
      </c>
      <c r="N478" t="s">
        <v>76</v>
      </c>
      <c r="O478" t="s">
        <v>77</v>
      </c>
    </row>
    <row r="479" spans="1:15" x14ac:dyDescent="0.25">
      <c r="A479">
        <v>18327</v>
      </c>
      <c r="B479" t="s">
        <v>20</v>
      </c>
      <c r="C479" t="s">
        <v>36</v>
      </c>
      <c r="D479" t="str">
        <f>IFERROR(INDEX(Sheet2!$B$2:$B$1132,MATCH(Sheet1!C479,Sheet1!$C$2:$C$1132,0)),"IDK")</f>
        <v>IT</v>
      </c>
      <c r="E479" t="s">
        <v>51</v>
      </c>
      <c r="F479" t="s">
        <v>54</v>
      </c>
      <c r="G479" s="1">
        <v>45543</v>
      </c>
      <c r="H479" t="s">
        <v>59</v>
      </c>
      <c r="I479" s="2" t="s">
        <v>166</v>
      </c>
      <c r="J479" s="2" t="s">
        <v>167</v>
      </c>
      <c r="K479">
        <f>IFERROR(INDEX(Sheet2!$C$2:$C$1132,MATCH(Sheet1!C479,Sheet1!$C$2:$C$1132,0)),"")</f>
        <v>50000</v>
      </c>
      <c r="L479">
        <f>IFERROR(INDEX(Sheet2!$D$2:$D$1132,MATCH(Sheet1!C479,$C$2:$C$1132,0)),"")</f>
        <v>100000</v>
      </c>
      <c r="M479" t="str">
        <f>IFERROR(INDEX($M$2:$M$1132,MATCH(B479,$B$2:$B$1132,0)),"")</f>
        <v>CLOUD, NETWORK, MACHINE LEARNING</v>
      </c>
      <c r="N479" t="s">
        <v>76</v>
      </c>
      <c r="O479" t="s">
        <v>79</v>
      </c>
    </row>
    <row r="480" spans="1:15" x14ac:dyDescent="0.25">
      <c r="A480">
        <v>18328</v>
      </c>
      <c r="B480" t="s">
        <v>20</v>
      </c>
      <c r="C480" t="s">
        <v>27</v>
      </c>
      <c r="D480" t="str">
        <f>IFERROR(INDEX(Sheet2!$B$2:$B$1132,MATCH(Sheet1!C480,Sheet1!$C$2:$C$1132,0)),"IDK")</f>
        <v>IT</v>
      </c>
      <c r="E480" t="s">
        <v>51</v>
      </c>
      <c r="F480" t="s">
        <v>54</v>
      </c>
      <c r="G480" s="1">
        <v>45313</v>
      </c>
      <c r="H480" t="s">
        <v>59</v>
      </c>
      <c r="I480" s="2" t="s">
        <v>168</v>
      </c>
      <c r="J480" s="2" t="s">
        <v>169</v>
      </c>
      <c r="K480">
        <f>IFERROR(INDEX(Sheet2!$C$2:$C$1132,MATCH(Sheet1!C480,Sheet1!$C$2:$C$1132,0)),"")</f>
        <v>40000</v>
      </c>
      <c r="L480">
        <f>IFERROR(INDEX(Sheet2!$D$2:$D$1132,MATCH(Sheet1!C480,$C$2:$C$1132,0)),"")</f>
        <v>80000</v>
      </c>
      <c r="M480" t="str">
        <f>IFERROR(INDEX($M$2:$M$1132,MATCH(B480,$B$2:$B$1132,0)),"")</f>
        <v>CLOUD, NETWORK, MACHINE LEARNING</v>
      </c>
      <c r="N480" t="s">
        <v>76</v>
      </c>
      <c r="O480" t="s">
        <v>37</v>
      </c>
    </row>
    <row r="481" spans="1:15" x14ac:dyDescent="0.25">
      <c r="A481">
        <v>18329</v>
      </c>
      <c r="B481" t="s">
        <v>20</v>
      </c>
      <c r="C481" t="s">
        <v>28</v>
      </c>
      <c r="D481" t="str">
        <f>IFERROR(INDEX(Sheet2!$B$2:$B$1132,MATCH(Sheet1!C481,Sheet1!$C$2:$C$1132,0)),"IDK")</f>
        <v>IT</v>
      </c>
      <c r="E481" t="s">
        <v>51</v>
      </c>
      <c r="F481" t="s">
        <v>54</v>
      </c>
      <c r="G481" s="1">
        <v>45449</v>
      </c>
      <c r="H481" t="s">
        <v>59</v>
      </c>
      <c r="I481" s="2" t="s">
        <v>168</v>
      </c>
      <c r="J481" s="2" t="s">
        <v>170</v>
      </c>
      <c r="K481">
        <f>IFERROR(INDEX(Sheet2!$C$2:$C$1132,MATCH(Sheet1!C481,Sheet1!$C$2:$C$1132,0)),"")</f>
        <v>30000</v>
      </c>
      <c r="L481">
        <f>IFERROR(INDEX(Sheet2!$D$2:$D$1132,MATCH(Sheet1!C481,$C$2:$C$1132,0)),"")</f>
        <v>55000</v>
      </c>
      <c r="M481" t="str">
        <f>IFERROR(INDEX($M$2:$M$1132,MATCH(B481,$B$2:$B$1132,0)),"")</f>
        <v>CLOUD, NETWORK, MACHINE LEARNING</v>
      </c>
      <c r="N481" t="s">
        <v>76</v>
      </c>
      <c r="O481" t="s">
        <v>78</v>
      </c>
    </row>
    <row r="482" spans="1:15" x14ac:dyDescent="0.25">
      <c r="A482">
        <v>18330</v>
      </c>
      <c r="B482" t="s">
        <v>20</v>
      </c>
      <c r="C482" t="s">
        <v>29</v>
      </c>
      <c r="D482" t="str">
        <f>IFERROR(INDEX(Sheet2!$B$2:$B$1132,MATCH(Sheet1!C482,Sheet1!$C$2:$C$1132,0)),"IDK")</f>
        <v>IT</v>
      </c>
      <c r="E482" t="s">
        <v>51</v>
      </c>
      <c r="F482" t="s">
        <v>54</v>
      </c>
      <c r="G482" s="1">
        <v>45636</v>
      </c>
      <c r="H482" t="s">
        <v>59</v>
      </c>
      <c r="I482" s="2" t="s">
        <v>171</v>
      </c>
      <c r="J482" s="2" t="s">
        <v>172</v>
      </c>
      <c r="K482">
        <f>IFERROR(INDEX(Sheet2!$C$2:$C$1132,MATCH(Sheet1!C482,Sheet1!$C$2:$C$1132,0)),"")</f>
        <v>35000</v>
      </c>
      <c r="L482">
        <f>IFERROR(INDEX(Sheet2!$D$2:$D$1132,MATCH(Sheet1!C482,$C$2:$C$1132,0)),"")</f>
        <v>70000</v>
      </c>
      <c r="M482" t="str">
        <f>IFERROR(INDEX($M$2:$M$1132,MATCH(B482,$B$2:$B$1132,0)),"")</f>
        <v>CLOUD, NETWORK, MACHINE LEARNING</v>
      </c>
      <c r="N482" t="s">
        <v>74</v>
      </c>
      <c r="O482" t="s">
        <v>80</v>
      </c>
    </row>
    <row r="483" spans="1:15" x14ac:dyDescent="0.25">
      <c r="A483">
        <v>18331</v>
      </c>
      <c r="B483" t="s">
        <v>20</v>
      </c>
      <c r="C483" t="s">
        <v>23</v>
      </c>
      <c r="D483" t="str">
        <f>IFERROR(INDEX(Sheet2!$B$2:$B$1132,MATCH(Sheet1!C483,Sheet1!$C$2:$C$1132,0)),"IDK")</f>
        <v>IT</v>
      </c>
      <c r="E483" t="s">
        <v>51</v>
      </c>
      <c r="F483" t="s">
        <v>54</v>
      </c>
      <c r="G483" s="1">
        <v>45394</v>
      </c>
      <c r="H483" t="s">
        <v>59</v>
      </c>
      <c r="I483" s="2" t="s">
        <v>161</v>
      </c>
      <c r="J483" s="2" t="s">
        <v>162</v>
      </c>
      <c r="K483">
        <f>IFERROR(INDEX(Sheet2!$C$2:$C$1132,MATCH(Sheet1!C483,Sheet1!$C$2:$C$1132,0)),"")</f>
        <v>35000</v>
      </c>
      <c r="L483">
        <f>IFERROR(INDEX(Sheet2!$D$2:$D$1132,MATCH(Sheet1!C483,$C$2:$C$1132,0)),"")</f>
        <v>70000</v>
      </c>
      <c r="M483" t="str">
        <f>IFERROR(INDEX($M$2:$M$1132,MATCH(B483,$B$2:$B$1132,0)),"")</f>
        <v>CLOUD, NETWORK, MACHINE LEARNING</v>
      </c>
      <c r="N483" t="s">
        <v>74</v>
      </c>
      <c r="O483" t="s">
        <v>79</v>
      </c>
    </row>
    <row r="484" spans="1:15" x14ac:dyDescent="0.25">
      <c r="A484">
        <v>18332</v>
      </c>
      <c r="B484" t="s">
        <v>20</v>
      </c>
      <c r="C484" t="s">
        <v>30</v>
      </c>
      <c r="D484" t="str">
        <f>IFERROR(INDEX(Sheet2!$B$2:$B$1132,MATCH(Sheet1!C484,Sheet1!$C$2:$C$1132,0)),"IDK")</f>
        <v>IT</v>
      </c>
      <c r="E484" t="s">
        <v>51</v>
      </c>
      <c r="F484" t="s">
        <v>54</v>
      </c>
      <c r="G484" s="1">
        <v>45419</v>
      </c>
      <c r="H484" t="s">
        <v>59</v>
      </c>
      <c r="I484" s="2" t="s">
        <v>161</v>
      </c>
      <c r="J484" s="2" t="s">
        <v>163</v>
      </c>
      <c r="K484">
        <f>IFERROR(INDEX(Sheet2!$C$2:$C$1132,MATCH(Sheet1!C484,Sheet1!$C$2:$C$1132,0)),"")</f>
        <v>25000</v>
      </c>
      <c r="L484">
        <f>IFERROR(INDEX(Sheet2!$D$2:$D$1132,MATCH(Sheet1!C484,$C$2:$C$1132,0)),"")</f>
        <v>60000</v>
      </c>
      <c r="M484" t="str">
        <f>IFERROR(INDEX($M$2:$M$1132,MATCH(B484,$B$2:$B$1132,0)),"")</f>
        <v>CLOUD, NETWORK, MACHINE LEARNING</v>
      </c>
      <c r="N484" t="s">
        <v>74</v>
      </c>
      <c r="O484" t="s">
        <v>37</v>
      </c>
    </row>
    <row r="485" spans="1:15" x14ac:dyDescent="0.25">
      <c r="A485">
        <v>18333</v>
      </c>
      <c r="B485" t="s">
        <v>20</v>
      </c>
      <c r="C485" t="s">
        <v>31</v>
      </c>
      <c r="D485" t="str">
        <f>IFERROR(INDEX(Sheet2!$B$2:$B$1132,MATCH(Sheet1!C485,Sheet1!$C$2:$C$1132,0)),"IDK")</f>
        <v>IT</v>
      </c>
      <c r="E485" t="s">
        <v>51</v>
      </c>
      <c r="F485" t="s">
        <v>54</v>
      </c>
      <c r="G485" s="1">
        <v>45404</v>
      </c>
      <c r="H485" t="s">
        <v>59</v>
      </c>
      <c r="I485" s="2" t="s">
        <v>164</v>
      </c>
      <c r="J485" s="2" t="s">
        <v>165</v>
      </c>
      <c r="K485">
        <f>IFERROR(INDEX(Sheet2!$C$2:$C$1132,MATCH(Sheet1!C485,Sheet1!$C$2:$C$1132,0)),"")</f>
        <v>25000</v>
      </c>
      <c r="L485">
        <f>IFERROR(INDEX(Sheet2!$D$2:$D$1132,MATCH(Sheet1!C485,$C$2:$C$1132,0)),"")</f>
        <v>75000</v>
      </c>
      <c r="M485" t="str">
        <f>IFERROR(INDEX($M$2:$M$1132,MATCH(B485,$B$2:$B$1132,0)),"")</f>
        <v>CLOUD, NETWORK, MACHINE LEARNING</v>
      </c>
      <c r="N485" t="s">
        <v>74</v>
      </c>
      <c r="O485" t="s">
        <v>78</v>
      </c>
    </row>
    <row r="486" spans="1:15" x14ac:dyDescent="0.25">
      <c r="A486">
        <v>18334</v>
      </c>
      <c r="B486" t="s">
        <v>20</v>
      </c>
      <c r="C486" t="s">
        <v>32</v>
      </c>
      <c r="D486" t="str">
        <f>IFERROR(INDEX(Sheet2!$B$2:$B$1132,MATCH(Sheet1!C486,Sheet1!$C$2:$C$1132,0)),"IDK")</f>
        <v>SOCIAL</v>
      </c>
      <c r="E486" t="s">
        <v>51</v>
      </c>
      <c r="F486" t="s">
        <v>54</v>
      </c>
      <c r="G486" s="1">
        <v>45634</v>
      </c>
      <c r="H486" t="s">
        <v>59</v>
      </c>
      <c r="I486" s="2" t="s">
        <v>166</v>
      </c>
      <c r="J486" s="2" t="s">
        <v>167</v>
      </c>
      <c r="K486">
        <f>IFERROR(INDEX(Sheet2!$C$2:$C$1132,MATCH(Sheet1!C486,Sheet1!$C$2:$C$1132,0)),"")</f>
        <v>20000</v>
      </c>
      <c r="L486">
        <f>IFERROR(INDEX(Sheet2!$D$2:$D$1132,MATCH(Sheet1!C486,$C$2:$C$1132,0)),"")</f>
        <v>70000</v>
      </c>
      <c r="M486" t="str">
        <f>IFERROR(INDEX($M$2:$M$1132,MATCH(B486,$B$2:$B$1132,0)),"")</f>
        <v>CLOUD, NETWORK, MACHINE LEARNING</v>
      </c>
      <c r="N486" t="s">
        <v>74</v>
      </c>
      <c r="O486" t="s">
        <v>79</v>
      </c>
    </row>
    <row r="487" spans="1:15" x14ac:dyDescent="0.25">
      <c r="A487">
        <v>18335</v>
      </c>
      <c r="B487" t="s">
        <v>20</v>
      </c>
      <c r="C487" t="s">
        <v>33</v>
      </c>
      <c r="D487" t="str">
        <f>IFERROR(INDEX(Sheet2!$B$2:$B$1132,MATCH(Sheet1!C487,Sheet1!$C$2:$C$1132,0)),"IDK")</f>
        <v>FINANCE</v>
      </c>
      <c r="E487" t="s">
        <v>51</v>
      </c>
      <c r="F487" t="s">
        <v>54</v>
      </c>
      <c r="G487" s="1">
        <v>45466</v>
      </c>
      <c r="H487" t="s">
        <v>59</v>
      </c>
      <c r="I487" s="2" t="s">
        <v>168</v>
      </c>
      <c r="J487" s="2" t="s">
        <v>169</v>
      </c>
      <c r="K487">
        <f>IFERROR(INDEX(Sheet2!$C$2:$C$1132,MATCH(Sheet1!C487,Sheet1!$C$2:$C$1132,0)),"")</f>
        <v>40000</v>
      </c>
      <c r="L487">
        <f>IFERROR(INDEX(Sheet2!$D$2:$D$1132,MATCH(Sheet1!C487,$C$2:$C$1132,0)),"")</f>
        <v>85000</v>
      </c>
      <c r="M487" t="str">
        <f>IFERROR(INDEX($M$2:$M$1132,MATCH(B487,$B$2:$B$1132,0)),"")</f>
        <v>CLOUD, NETWORK, MACHINE LEARNING</v>
      </c>
      <c r="N487" t="s">
        <v>74</v>
      </c>
      <c r="O487" t="s">
        <v>80</v>
      </c>
    </row>
    <row r="488" spans="1:15" x14ac:dyDescent="0.25">
      <c r="A488">
        <v>18336</v>
      </c>
      <c r="B488" t="s">
        <v>20</v>
      </c>
      <c r="C488" t="s">
        <v>23</v>
      </c>
      <c r="D488" t="str">
        <f>IFERROR(INDEX(Sheet2!$B$2:$B$1132,MATCH(Sheet1!C488,Sheet1!$C$2:$C$1132,0)),"IDK")</f>
        <v>IT</v>
      </c>
      <c r="E488" t="s">
        <v>51</v>
      </c>
      <c r="F488" t="s">
        <v>54</v>
      </c>
      <c r="G488" s="1">
        <v>45514</v>
      </c>
      <c r="H488" t="s">
        <v>59</v>
      </c>
      <c r="I488" s="2" t="s">
        <v>168</v>
      </c>
      <c r="J488" s="2" t="s">
        <v>170</v>
      </c>
      <c r="K488">
        <f>IFERROR(INDEX(Sheet2!$C$2:$C$1132,MATCH(Sheet1!C488,Sheet1!$C$2:$C$1132,0)),"")</f>
        <v>35000</v>
      </c>
      <c r="L488">
        <f>IFERROR(INDEX(Sheet2!$D$2:$D$1132,MATCH(Sheet1!C488,$C$2:$C$1132,0)),"")</f>
        <v>70000</v>
      </c>
      <c r="M488" t="str">
        <f>IFERROR(INDEX($M$2:$M$1132,MATCH(B488,$B$2:$B$1132,0)),"")</f>
        <v>CLOUD, NETWORK, MACHINE LEARNING</v>
      </c>
      <c r="N488" t="s">
        <v>75</v>
      </c>
      <c r="O488" t="s">
        <v>77</v>
      </c>
    </row>
    <row r="489" spans="1:15" x14ac:dyDescent="0.25">
      <c r="A489">
        <v>18337</v>
      </c>
      <c r="B489" t="s">
        <v>20</v>
      </c>
      <c r="C489" t="s">
        <v>24</v>
      </c>
      <c r="D489" t="str">
        <f>IFERROR(INDEX(Sheet2!$B$2:$B$1132,MATCH(Sheet1!C489,Sheet1!$C$2:$C$1132,0)),"IDK")</f>
        <v>HEALTH</v>
      </c>
      <c r="E489" t="s">
        <v>51</v>
      </c>
      <c r="F489" t="s">
        <v>54</v>
      </c>
      <c r="G489" s="1">
        <v>45499</v>
      </c>
      <c r="H489" t="s">
        <v>59</v>
      </c>
      <c r="I489" s="2" t="s">
        <v>171</v>
      </c>
      <c r="J489" s="2" t="s">
        <v>172</v>
      </c>
      <c r="K489">
        <f>IFERROR(INDEX(Sheet2!$C$2:$C$1132,MATCH(Sheet1!C489,Sheet1!$C$2:$C$1132,0)),"")</f>
        <v>25000</v>
      </c>
      <c r="L489">
        <f>IFERROR(INDEX(Sheet2!$D$2:$D$1132,MATCH(Sheet1!C489,$C$2:$C$1132,0)),"")</f>
        <v>50000</v>
      </c>
      <c r="M489" t="str">
        <f>IFERROR(INDEX($M$2:$M$1132,MATCH(B489,$B$2:$B$1132,0)),"")</f>
        <v>CLOUD, NETWORK, MACHINE LEARNING</v>
      </c>
      <c r="N489" t="s">
        <v>75</v>
      </c>
      <c r="O489" t="s">
        <v>79</v>
      </c>
    </row>
    <row r="490" spans="1:15" x14ac:dyDescent="0.25">
      <c r="A490">
        <v>18338</v>
      </c>
      <c r="B490" t="s">
        <v>20</v>
      </c>
      <c r="C490" t="s">
        <v>25</v>
      </c>
      <c r="D490" t="str">
        <f>IFERROR(INDEX(Sheet2!$B$2:$B$1132,MATCH(Sheet1!C490,Sheet1!$C$2:$C$1132,0)),"IDK")</f>
        <v>SOCIAL</v>
      </c>
      <c r="E490" t="s">
        <v>51</v>
      </c>
      <c r="F490" t="s">
        <v>54</v>
      </c>
      <c r="G490" s="1">
        <v>45612</v>
      </c>
      <c r="H490" t="s">
        <v>59</v>
      </c>
      <c r="I490" s="2" t="s">
        <v>161</v>
      </c>
      <c r="J490" s="2" t="s">
        <v>162</v>
      </c>
      <c r="K490">
        <f>IFERROR(INDEX(Sheet2!$C$2:$C$1132,MATCH(Sheet1!C490,Sheet1!$C$2:$C$1132,0)),"")</f>
        <v>30000</v>
      </c>
      <c r="L490">
        <f>IFERROR(INDEX(Sheet2!$D$2:$D$1132,MATCH(Sheet1!C490,$C$2:$C$1132,0)),"")</f>
        <v>60000</v>
      </c>
      <c r="M490" t="str">
        <f>IFERROR(INDEX($M$2:$M$1132,MATCH(B490,$B$2:$B$1132,0)),"")</f>
        <v>CLOUD, NETWORK, MACHINE LEARNING</v>
      </c>
      <c r="N490" t="s">
        <v>75</v>
      </c>
      <c r="O490" t="s">
        <v>37</v>
      </c>
    </row>
    <row r="491" spans="1:15" x14ac:dyDescent="0.25">
      <c r="A491">
        <v>18339</v>
      </c>
      <c r="B491" t="s">
        <v>20</v>
      </c>
      <c r="C491" t="s">
        <v>26</v>
      </c>
      <c r="D491" t="str">
        <f>IFERROR(INDEX(Sheet2!$B$2:$B$1132,MATCH(Sheet1!C491,Sheet1!$C$2:$C$1132,0)),"IDK")</f>
        <v>FINANCE</v>
      </c>
      <c r="E491" t="s">
        <v>51</v>
      </c>
      <c r="F491" t="s">
        <v>54</v>
      </c>
      <c r="G491" s="1">
        <v>45300</v>
      </c>
      <c r="H491" t="s">
        <v>59</v>
      </c>
      <c r="I491" s="2" t="s">
        <v>161</v>
      </c>
      <c r="J491" s="2" t="s">
        <v>163</v>
      </c>
      <c r="K491">
        <f>IFERROR(INDEX(Sheet2!$C$2:$C$1132,MATCH(Sheet1!C491,Sheet1!$C$2:$C$1132,0)),"")</f>
        <v>35000</v>
      </c>
      <c r="L491">
        <f>IFERROR(INDEX(Sheet2!$D$2:$D$1132,MATCH(Sheet1!C491,$C$2:$C$1132,0)),"")</f>
        <v>75000</v>
      </c>
      <c r="M491" t="str">
        <f>IFERROR(INDEX($M$2:$M$1132,MATCH(B491,$B$2:$B$1132,0)),"")</f>
        <v>CLOUD, NETWORK, MACHINE LEARNING</v>
      </c>
      <c r="N491" t="s">
        <v>75</v>
      </c>
      <c r="O491" t="s">
        <v>78</v>
      </c>
    </row>
    <row r="492" spans="1:15" x14ac:dyDescent="0.25">
      <c r="A492">
        <v>18340</v>
      </c>
      <c r="B492" t="s">
        <v>20</v>
      </c>
      <c r="C492" t="s">
        <v>37</v>
      </c>
      <c r="D492" t="s">
        <v>43</v>
      </c>
      <c r="E492" t="s">
        <v>51</v>
      </c>
      <c r="F492" t="s">
        <v>54</v>
      </c>
      <c r="G492" s="1">
        <v>45537</v>
      </c>
      <c r="H492" t="s">
        <v>59</v>
      </c>
      <c r="I492" s="2" t="s">
        <v>164</v>
      </c>
      <c r="J492" s="2" t="s">
        <v>165</v>
      </c>
      <c r="K492">
        <v>45000</v>
      </c>
      <c r="L492">
        <v>90000</v>
      </c>
      <c r="M492" t="str">
        <f>IFERROR(INDEX($M$2:$M$1132,MATCH(B492,$B$2:$B$1132,0)),"")</f>
        <v>CLOUD, NETWORK, MACHINE LEARNING</v>
      </c>
      <c r="N492" t="s">
        <v>75</v>
      </c>
      <c r="O492" t="s">
        <v>80</v>
      </c>
    </row>
    <row r="493" spans="1:15" x14ac:dyDescent="0.25">
      <c r="A493">
        <v>18341</v>
      </c>
      <c r="B493" t="s">
        <v>20</v>
      </c>
      <c r="C493" t="s">
        <v>38</v>
      </c>
      <c r="D493" t="s">
        <v>42</v>
      </c>
      <c r="E493" t="s">
        <v>51</v>
      </c>
      <c r="F493" t="s">
        <v>54</v>
      </c>
      <c r="G493" s="1">
        <v>45359</v>
      </c>
      <c r="H493" t="s">
        <v>59</v>
      </c>
      <c r="I493" s="2" t="s">
        <v>166</v>
      </c>
      <c r="J493" s="2" t="s">
        <v>167</v>
      </c>
      <c r="K493">
        <v>20000</v>
      </c>
      <c r="L493">
        <v>80000</v>
      </c>
      <c r="M493" t="str">
        <f>IFERROR(INDEX($M$2:$M$1132,MATCH(B493,$B$2:$B$1132,0)),"")</f>
        <v>CLOUD, NETWORK, MACHINE LEARNING</v>
      </c>
      <c r="N493" t="s">
        <v>76</v>
      </c>
      <c r="O493" t="s">
        <v>79</v>
      </c>
    </row>
    <row r="494" spans="1:15" x14ac:dyDescent="0.25">
      <c r="A494">
        <v>18342</v>
      </c>
      <c r="B494" t="s">
        <v>20</v>
      </c>
      <c r="C494" t="s">
        <v>39</v>
      </c>
      <c r="D494" t="s">
        <v>42</v>
      </c>
      <c r="E494" t="s">
        <v>51</v>
      </c>
      <c r="F494" t="s">
        <v>54</v>
      </c>
      <c r="G494" s="1">
        <v>45355</v>
      </c>
      <c r="H494" t="s">
        <v>59</v>
      </c>
      <c r="I494" s="2" t="s">
        <v>168</v>
      </c>
      <c r="J494" s="2" t="s">
        <v>169</v>
      </c>
      <c r="K494">
        <v>25000</v>
      </c>
      <c r="L494">
        <v>85000</v>
      </c>
      <c r="M494" t="str">
        <f>IFERROR(INDEX($M$2:$M$1132,MATCH(B494,$B$2:$B$1132,0)),"")</f>
        <v>CLOUD, NETWORK, MACHINE LEARNING</v>
      </c>
      <c r="N494" t="s">
        <v>76</v>
      </c>
      <c r="O494" t="s">
        <v>37</v>
      </c>
    </row>
    <row r="495" spans="1:15" x14ac:dyDescent="0.25">
      <c r="A495">
        <v>18343</v>
      </c>
      <c r="B495" t="s">
        <v>20</v>
      </c>
      <c r="C495" t="s">
        <v>23</v>
      </c>
      <c r="D495" t="str">
        <f>IFERROR(INDEX(Sheet2!$B$2:$B$1132,MATCH(Sheet1!C495,Sheet1!$C$2:$C$1132,0)),"IDK")</f>
        <v>IT</v>
      </c>
      <c r="E495" t="s">
        <v>51</v>
      </c>
      <c r="F495" t="s">
        <v>54</v>
      </c>
      <c r="G495" s="1">
        <v>45515</v>
      </c>
      <c r="H495" t="s">
        <v>59</v>
      </c>
      <c r="I495" s="2" t="s">
        <v>168</v>
      </c>
      <c r="J495" s="2" t="s">
        <v>170</v>
      </c>
      <c r="K495">
        <f>IFERROR(INDEX(Sheet2!$C$2:$C$1132,MATCH(Sheet1!C495,Sheet1!$C$2:$C$1132,0)),"")</f>
        <v>35000</v>
      </c>
      <c r="L495">
        <f>IFERROR(INDEX(Sheet2!$D$2:$D$1132,MATCH(Sheet1!C495,$C$2:$C$1132,0)),"")</f>
        <v>70000</v>
      </c>
      <c r="M495" t="str">
        <f>IFERROR(INDEX($M$2:$M$1132,MATCH(B495,$B$2:$B$1132,0)),"")</f>
        <v>CLOUD, NETWORK, MACHINE LEARNING</v>
      </c>
      <c r="N495" t="s">
        <v>76</v>
      </c>
      <c r="O495" t="s">
        <v>78</v>
      </c>
    </row>
    <row r="496" spans="1:15" x14ac:dyDescent="0.25">
      <c r="A496">
        <v>18344</v>
      </c>
      <c r="B496" t="s">
        <v>20</v>
      </c>
      <c r="C496" t="s">
        <v>30</v>
      </c>
      <c r="D496" t="str">
        <f>IFERROR(INDEX(Sheet2!$B$2:$B$1132,MATCH(Sheet1!C496,Sheet1!$C$2:$C$1132,0)),"IDK")</f>
        <v>IT</v>
      </c>
      <c r="E496" t="s">
        <v>51</v>
      </c>
      <c r="F496" t="s">
        <v>54</v>
      </c>
      <c r="G496" s="1">
        <v>45488</v>
      </c>
      <c r="H496" t="s">
        <v>59</v>
      </c>
      <c r="I496" s="2" t="s">
        <v>171</v>
      </c>
      <c r="J496" s="2" t="s">
        <v>172</v>
      </c>
      <c r="K496">
        <f>IFERROR(INDEX(Sheet2!$C$2:$C$1132,MATCH(Sheet1!C496,Sheet1!$C$2:$C$1132,0)),"")</f>
        <v>25000</v>
      </c>
      <c r="L496">
        <f>IFERROR(INDEX(Sheet2!$D$2:$D$1132,MATCH(Sheet1!C496,$C$2:$C$1132,0)),"")</f>
        <v>60000</v>
      </c>
      <c r="M496" t="str">
        <f>IFERROR(INDEX($M$2:$M$1132,MATCH(B496,$B$2:$B$1132,0)),"")</f>
        <v>CLOUD, NETWORK, MACHINE LEARNING</v>
      </c>
      <c r="N496" t="s">
        <v>76</v>
      </c>
      <c r="O496" t="s">
        <v>79</v>
      </c>
    </row>
    <row r="497" spans="1:15" x14ac:dyDescent="0.25">
      <c r="A497">
        <v>18345</v>
      </c>
      <c r="B497" t="s">
        <v>20</v>
      </c>
      <c r="C497" t="s">
        <v>31</v>
      </c>
      <c r="D497" t="str">
        <f>IFERROR(INDEX(Sheet2!$B$2:$B$1132,MATCH(Sheet1!C497,Sheet1!$C$2:$C$1132,0)),"IDK")</f>
        <v>IT</v>
      </c>
      <c r="E497" t="s">
        <v>51</v>
      </c>
      <c r="F497" t="s">
        <v>54</v>
      </c>
      <c r="G497" s="1">
        <v>45375</v>
      </c>
      <c r="H497" t="s">
        <v>59</v>
      </c>
      <c r="I497" s="2" t="s">
        <v>161</v>
      </c>
      <c r="J497" s="2" t="s">
        <v>162</v>
      </c>
      <c r="K497">
        <f>IFERROR(INDEX(Sheet2!$C$2:$C$1132,MATCH(Sheet1!C497,Sheet1!$C$2:$C$1132,0)),"")</f>
        <v>25000</v>
      </c>
      <c r="L497">
        <f>IFERROR(INDEX(Sheet2!$D$2:$D$1132,MATCH(Sheet1!C497,$C$2:$C$1132,0)),"")</f>
        <v>75000</v>
      </c>
      <c r="M497" t="str">
        <f>IFERROR(INDEX($M$2:$M$1132,MATCH(B497,$B$2:$B$1132,0)),"")</f>
        <v>CLOUD, NETWORK, MACHINE LEARNING</v>
      </c>
      <c r="N497" t="s">
        <v>76</v>
      </c>
      <c r="O497" t="s">
        <v>80</v>
      </c>
    </row>
    <row r="498" spans="1:15" x14ac:dyDescent="0.25">
      <c r="A498">
        <v>18346</v>
      </c>
      <c r="B498" t="s">
        <v>20</v>
      </c>
      <c r="C498" t="s">
        <v>32</v>
      </c>
      <c r="D498" t="str">
        <f>IFERROR(INDEX(Sheet2!$B$2:$B$1132,MATCH(Sheet1!C498,Sheet1!$C$2:$C$1132,0)),"IDK")</f>
        <v>SOCIAL</v>
      </c>
      <c r="E498" t="s">
        <v>51</v>
      </c>
      <c r="F498" t="s">
        <v>54</v>
      </c>
      <c r="G498" s="1">
        <v>45412</v>
      </c>
      <c r="H498" t="s">
        <v>59</v>
      </c>
      <c r="I498" s="2" t="s">
        <v>161</v>
      </c>
      <c r="J498" s="2" t="s">
        <v>163</v>
      </c>
      <c r="K498">
        <f>IFERROR(INDEX(Sheet2!$C$2:$C$1132,MATCH(Sheet1!C498,Sheet1!$C$2:$C$1132,0)),"")</f>
        <v>20000</v>
      </c>
      <c r="L498">
        <f>IFERROR(INDEX(Sheet2!$D$2:$D$1132,MATCH(Sheet1!C498,$C$2:$C$1132,0)),"")</f>
        <v>70000</v>
      </c>
      <c r="M498" t="str">
        <f>IFERROR(INDEX($M$2:$M$1132,MATCH(B498,$B$2:$B$1132,0)),"")</f>
        <v>CLOUD, NETWORK, MACHINE LEARNING</v>
      </c>
      <c r="N498" t="s">
        <v>76</v>
      </c>
      <c r="O498" t="s">
        <v>77</v>
      </c>
    </row>
    <row r="499" spans="1:15" x14ac:dyDescent="0.25">
      <c r="A499">
        <v>18347</v>
      </c>
      <c r="B499" t="s">
        <v>20</v>
      </c>
      <c r="C499" t="s">
        <v>33</v>
      </c>
      <c r="D499" t="str">
        <f>IFERROR(INDEX(Sheet2!$B$2:$B$1132,MATCH(Sheet1!C499,Sheet1!$C$2:$C$1132,0)),"IDK")</f>
        <v>FINANCE</v>
      </c>
      <c r="E499" t="s">
        <v>51</v>
      </c>
      <c r="F499" t="s">
        <v>54</v>
      </c>
      <c r="G499" s="1">
        <v>45319</v>
      </c>
      <c r="H499" t="s">
        <v>59</v>
      </c>
      <c r="I499" s="2" t="s">
        <v>164</v>
      </c>
      <c r="J499" s="2" t="s">
        <v>165</v>
      </c>
      <c r="K499">
        <f>IFERROR(INDEX(Sheet2!$C$2:$C$1132,MATCH(Sheet1!C499,Sheet1!$C$2:$C$1132,0)),"")</f>
        <v>40000</v>
      </c>
      <c r="L499">
        <f>IFERROR(INDEX(Sheet2!$D$2:$D$1132,MATCH(Sheet1!C499,$C$2:$C$1132,0)),"")</f>
        <v>85000</v>
      </c>
      <c r="M499" t="str">
        <f>IFERROR(INDEX($M$2:$M$1132,MATCH(B499,$B$2:$B$1132,0)),"")</f>
        <v>CLOUD, NETWORK, MACHINE LEARNING</v>
      </c>
      <c r="N499" t="s">
        <v>74</v>
      </c>
      <c r="O499" t="s">
        <v>79</v>
      </c>
    </row>
    <row r="500" spans="1:15" x14ac:dyDescent="0.25">
      <c r="A500">
        <v>18348</v>
      </c>
      <c r="B500" t="s">
        <v>20</v>
      </c>
      <c r="C500" t="s">
        <v>23</v>
      </c>
      <c r="D500" t="str">
        <f>IFERROR(INDEX(Sheet2!$B$2:$B$1132,MATCH(Sheet1!C500,Sheet1!$C$2:$C$1132,0)),"IDK")</f>
        <v>IT</v>
      </c>
      <c r="E500" t="s">
        <v>51</v>
      </c>
      <c r="F500" t="s">
        <v>54</v>
      </c>
      <c r="G500" s="1">
        <v>45437</v>
      </c>
      <c r="H500" t="s">
        <v>59</v>
      </c>
      <c r="I500" s="2" t="s">
        <v>166</v>
      </c>
      <c r="J500" s="2" t="s">
        <v>167</v>
      </c>
      <c r="K500">
        <f>IFERROR(INDEX(Sheet2!$C$2:$C$1132,MATCH(Sheet1!C500,Sheet1!$C$2:$C$1132,0)),"")</f>
        <v>35000</v>
      </c>
      <c r="L500">
        <f>IFERROR(INDEX(Sheet2!$D$2:$D$1132,MATCH(Sheet1!C500,$C$2:$C$1132,0)),"")</f>
        <v>70000</v>
      </c>
      <c r="M500" t="str">
        <f>IFERROR(INDEX($M$2:$M$1132,MATCH(B500,$B$2:$B$1132,0)),"")</f>
        <v>CLOUD, NETWORK, MACHINE LEARNING</v>
      </c>
      <c r="N500" t="s">
        <v>74</v>
      </c>
      <c r="O500" t="s">
        <v>37</v>
      </c>
    </row>
    <row r="501" spans="1:15" x14ac:dyDescent="0.25">
      <c r="A501">
        <v>18349</v>
      </c>
      <c r="B501" t="s">
        <v>20</v>
      </c>
      <c r="C501" t="s">
        <v>24</v>
      </c>
      <c r="D501" t="str">
        <f>IFERROR(INDEX(Sheet2!$B$2:$B$1132,MATCH(Sheet1!C501,Sheet1!$C$2:$C$1132,0)),"IDK")</f>
        <v>HEALTH</v>
      </c>
      <c r="E501" t="s">
        <v>51</v>
      </c>
      <c r="F501" t="s">
        <v>54</v>
      </c>
      <c r="G501" s="1">
        <v>45595</v>
      </c>
      <c r="H501" t="s">
        <v>59</v>
      </c>
      <c r="I501" s="2" t="s">
        <v>168</v>
      </c>
      <c r="J501" s="2" t="s">
        <v>169</v>
      </c>
      <c r="K501">
        <f>IFERROR(INDEX(Sheet2!$C$2:$C$1132,MATCH(Sheet1!C501,Sheet1!$C$2:$C$1132,0)),"")</f>
        <v>25000</v>
      </c>
      <c r="L501">
        <f>IFERROR(INDEX(Sheet2!$D$2:$D$1132,MATCH(Sheet1!C501,$C$2:$C$1132,0)),"")</f>
        <v>50000</v>
      </c>
      <c r="M501" t="str">
        <f>IFERROR(INDEX($M$2:$M$1132,MATCH(B501,$B$2:$B$1132,0)),"")</f>
        <v>CLOUD, NETWORK, MACHINE LEARNING</v>
      </c>
      <c r="N501" t="s">
        <v>74</v>
      </c>
      <c r="O501" t="s">
        <v>78</v>
      </c>
    </row>
    <row r="502" spans="1:15" x14ac:dyDescent="0.25">
      <c r="A502">
        <v>18350</v>
      </c>
      <c r="B502" t="s">
        <v>20</v>
      </c>
      <c r="C502" t="s">
        <v>25</v>
      </c>
      <c r="D502" t="str">
        <f>IFERROR(INDEX(Sheet2!$B$2:$B$1132,MATCH(Sheet1!C502,Sheet1!$C$2:$C$1132,0)),"IDK")</f>
        <v>SOCIAL</v>
      </c>
      <c r="E502" t="s">
        <v>51</v>
      </c>
      <c r="F502" t="s">
        <v>54</v>
      </c>
      <c r="G502" s="1">
        <v>45525</v>
      </c>
      <c r="H502" t="s">
        <v>59</v>
      </c>
      <c r="I502" s="2" t="s">
        <v>168</v>
      </c>
      <c r="J502" s="2" t="s">
        <v>170</v>
      </c>
      <c r="K502">
        <f>IFERROR(INDEX(Sheet2!$C$2:$C$1132,MATCH(Sheet1!C502,Sheet1!$C$2:$C$1132,0)),"")</f>
        <v>30000</v>
      </c>
      <c r="L502">
        <f>IFERROR(INDEX(Sheet2!$D$2:$D$1132,MATCH(Sheet1!C502,$C$2:$C$1132,0)),"")</f>
        <v>60000</v>
      </c>
      <c r="M502" t="str">
        <f>IFERROR(INDEX($M$2:$M$1132,MATCH(B502,$B$2:$B$1132,0)),"")</f>
        <v>CLOUD, NETWORK, MACHINE LEARNING</v>
      </c>
      <c r="N502" t="s">
        <v>74</v>
      </c>
      <c r="O502" t="s">
        <v>78</v>
      </c>
    </row>
    <row r="503" spans="1:15" x14ac:dyDescent="0.25">
      <c r="A503">
        <v>18351</v>
      </c>
      <c r="B503" t="s">
        <v>20</v>
      </c>
      <c r="C503" t="s">
        <v>26</v>
      </c>
      <c r="D503" t="str">
        <f>IFERROR(INDEX(Sheet2!$B$2:$B$1132,MATCH(Sheet1!C503,Sheet1!$C$2:$C$1132,0)),"IDK")</f>
        <v>FINANCE</v>
      </c>
      <c r="E503" t="s">
        <v>51</v>
      </c>
      <c r="F503" t="s">
        <v>54</v>
      </c>
      <c r="G503" s="1">
        <v>45409</v>
      </c>
      <c r="H503" t="s">
        <v>59</v>
      </c>
      <c r="I503" s="2" t="s">
        <v>171</v>
      </c>
      <c r="J503" s="2" t="s">
        <v>172</v>
      </c>
      <c r="K503">
        <f>IFERROR(INDEX(Sheet2!$C$2:$C$1132,MATCH(Sheet1!C503,Sheet1!$C$2:$C$1132,0)),"")</f>
        <v>35000</v>
      </c>
      <c r="L503">
        <f>IFERROR(INDEX(Sheet2!$D$2:$D$1132,MATCH(Sheet1!C503,$C$2:$C$1132,0)),"")</f>
        <v>75000</v>
      </c>
      <c r="M503" t="str">
        <f>IFERROR(INDEX($M$2:$M$1132,MATCH(B503,$B$2:$B$1132,0)),"")</f>
        <v>CLOUD, NETWORK, MACHINE LEARNING</v>
      </c>
      <c r="N503" t="s">
        <v>74</v>
      </c>
      <c r="O503" t="s">
        <v>79</v>
      </c>
    </row>
    <row r="504" spans="1:15" x14ac:dyDescent="0.25">
      <c r="A504">
        <v>18352</v>
      </c>
      <c r="B504" t="s">
        <v>20</v>
      </c>
      <c r="C504" t="s">
        <v>27</v>
      </c>
      <c r="D504" t="str">
        <f>IFERROR(INDEX(Sheet2!$B$2:$B$1132,MATCH(Sheet1!C504,Sheet1!$C$2:$C$1132,0)),"IDK")</f>
        <v>IT</v>
      </c>
      <c r="E504" t="s">
        <v>51</v>
      </c>
      <c r="F504" t="s">
        <v>54</v>
      </c>
      <c r="G504" s="1">
        <v>45610</v>
      </c>
      <c r="H504" t="s">
        <v>59</v>
      </c>
      <c r="I504" s="2" t="s">
        <v>161</v>
      </c>
      <c r="J504" s="2" t="s">
        <v>162</v>
      </c>
      <c r="K504">
        <f>IFERROR(INDEX(Sheet2!$C$2:$C$1132,MATCH(Sheet1!C504,Sheet1!$C$2:$C$1132,0)),"")</f>
        <v>40000</v>
      </c>
      <c r="L504">
        <f>IFERROR(INDEX(Sheet2!$D$2:$D$1132,MATCH(Sheet1!C504,$C$2:$C$1132,0)),"")</f>
        <v>80000</v>
      </c>
      <c r="M504" t="str">
        <f>IFERROR(INDEX($M$2:$M$1132,MATCH(B504,$B$2:$B$1132,0)),"")</f>
        <v>CLOUD, NETWORK, MACHINE LEARNING</v>
      </c>
      <c r="N504" t="s">
        <v>74</v>
      </c>
      <c r="O504" t="s">
        <v>80</v>
      </c>
    </row>
    <row r="505" spans="1:15" x14ac:dyDescent="0.25">
      <c r="A505">
        <v>18353</v>
      </c>
      <c r="B505" t="s">
        <v>20</v>
      </c>
      <c r="C505" t="s">
        <v>28</v>
      </c>
      <c r="D505" t="str">
        <f>IFERROR(INDEX(Sheet2!$B$2:$B$1132,MATCH(Sheet1!C505,Sheet1!$C$2:$C$1132,0)),"IDK")</f>
        <v>IT</v>
      </c>
      <c r="E505" t="s">
        <v>51</v>
      </c>
      <c r="F505" t="s">
        <v>54</v>
      </c>
      <c r="G505" s="1">
        <v>45642</v>
      </c>
      <c r="H505" t="s">
        <v>59</v>
      </c>
      <c r="I505" s="2" t="s">
        <v>161</v>
      </c>
      <c r="J505" s="2" t="s">
        <v>163</v>
      </c>
      <c r="K505">
        <f>IFERROR(INDEX(Sheet2!$C$2:$C$1132,MATCH(Sheet1!C505,Sheet1!$C$2:$C$1132,0)),"")</f>
        <v>30000</v>
      </c>
      <c r="L505">
        <f>IFERROR(INDEX(Sheet2!$D$2:$D$1132,MATCH(Sheet1!C505,$C$2:$C$1132,0)),"")</f>
        <v>55000</v>
      </c>
      <c r="M505" t="str">
        <f>IFERROR(INDEX($M$2:$M$1132,MATCH(B505,$B$2:$B$1132,0)),"")</f>
        <v>CLOUD, NETWORK, MACHINE LEARNING</v>
      </c>
      <c r="N505" t="s">
        <v>75</v>
      </c>
      <c r="O505" t="s">
        <v>77</v>
      </c>
    </row>
    <row r="506" spans="1:15" x14ac:dyDescent="0.25">
      <c r="A506">
        <v>18354</v>
      </c>
      <c r="B506" t="s">
        <v>20</v>
      </c>
      <c r="C506" t="s">
        <v>29</v>
      </c>
      <c r="D506" t="str">
        <f>IFERROR(INDEX(Sheet2!$B$2:$B$1132,MATCH(Sheet1!C506,Sheet1!$C$2:$C$1132,0)),"IDK")</f>
        <v>IT</v>
      </c>
      <c r="E506" t="s">
        <v>51</v>
      </c>
      <c r="F506" t="s">
        <v>54</v>
      </c>
      <c r="G506" s="1">
        <v>45574</v>
      </c>
      <c r="H506" t="s">
        <v>59</v>
      </c>
      <c r="I506" s="2" t="s">
        <v>164</v>
      </c>
      <c r="J506" s="2" t="s">
        <v>165</v>
      </c>
      <c r="K506">
        <f>IFERROR(INDEX(Sheet2!$C$2:$C$1132,MATCH(Sheet1!C506,Sheet1!$C$2:$C$1132,0)),"")</f>
        <v>35000</v>
      </c>
      <c r="L506">
        <f>IFERROR(INDEX(Sheet2!$D$2:$D$1132,MATCH(Sheet1!C506,$C$2:$C$1132,0)),"")</f>
        <v>70000</v>
      </c>
      <c r="M506" t="str">
        <f>IFERROR(INDEX($M$2:$M$1132,MATCH(B506,$B$2:$B$1132,0)),"")</f>
        <v>CLOUD, NETWORK, MACHINE LEARNING</v>
      </c>
      <c r="N506" t="s">
        <v>75</v>
      </c>
      <c r="O506" t="s">
        <v>79</v>
      </c>
    </row>
    <row r="507" spans="1:15" x14ac:dyDescent="0.25">
      <c r="A507">
        <v>18355</v>
      </c>
      <c r="B507" t="s">
        <v>20</v>
      </c>
      <c r="C507" t="s">
        <v>23</v>
      </c>
      <c r="D507" t="str">
        <f>IFERROR(INDEX(Sheet2!$B$2:$B$1132,MATCH(Sheet1!C507,Sheet1!$C$2:$C$1132,0)),"IDK")</f>
        <v>IT</v>
      </c>
      <c r="E507" t="s">
        <v>51</v>
      </c>
      <c r="F507" t="s">
        <v>54</v>
      </c>
      <c r="G507" s="1">
        <v>45567</v>
      </c>
      <c r="H507" t="s">
        <v>59</v>
      </c>
      <c r="I507" s="2" t="s">
        <v>166</v>
      </c>
      <c r="J507" s="2" t="s">
        <v>167</v>
      </c>
      <c r="K507">
        <f>IFERROR(INDEX(Sheet2!$C$2:$C$1132,MATCH(Sheet1!C507,Sheet1!$C$2:$C$1132,0)),"")</f>
        <v>35000</v>
      </c>
      <c r="L507">
        <f>IFERROR(INDEX(Sheet2!$D$2:$D$1132,MATCH(Sheet1!C507,$C$2:$C$1132,0)),"")</f>
        <v>70000</v>
      </c>
      <c r="M507" t="str">
        <f>IFERROR(INDEX($M$2:$M$1132,MATCH(B507,$B$2:$B$1132,0)),"")</f>
        <v>CLOUD, NETWORK, MACHINE LEARNING</v>
      </c>
      <c r="N507" t="s">
        <v>75</v>
      </c>
      <c r="O507" t="s">
        <v>37</v>
      </c>
    </row>
    <row r="508" spans="1:15" x14ac:dyDescent="0.25">
      <c r="A508">
        <v>18356</v>
      </c>
      <c r="B508" t="s">
        <v>20</v>
      </c>
      <c r="C508" t="s">
        <v>30</v>
      </c>
      <c r="D508" t="str">
        <f>IFERROR(INDEX(Sheet2!$B$2:$B$1132,MATCH(Sheet1!C508,Sheet1!$C$2:$C$1132,0)),"IDK")</f>
        <v>IT</v>
      </c>
      <c r="E508" t="s">
        <v>51</v>
      </c>
      <c r="F508" t="s">
        <v>54</v>
      </c>
      <c r="G508" s="1">
        <v>45360</v>
      </c>
      <c r="H508" t="s">
        <v>59</v>
      </c>
      <c r="I508" s="2" t="s">
        <v>168</v>
      </c>
      <c r="J508" s="2" t="s">
        <v>169</v>
      </c>
      <c r="K508">
        <f>IFERROR(INDEX(Sheet2!$C$2:$C$1132,MATCH(Sheet1!C508,Sheet1!$C$2:$C$1132,0)),"")</f>
        <v>25000</v>
      </c>
      <c r="L508">
        <f>IFERROR(INDEX(Sheet2!$D$2:$D$1132,MATCH(Sheet1!C508,$C$2:$C$1132,0)),"")</f>
        <v>60000</v>
      </c>
      <c r="M508" t="str">
        <f>IFERROR(INDEX($M$2:$M$1132,MATCH(B508,$B$2:$B$1132,0)),"")</f>
        <v>CLOUD, NETWORK, MACHINE LEARNING</v>
      </c>
      <c r="N508" t="s">
        <v>75</v>
      </c>
      <c r="O508" t="s">
        <v>78</v>
      </c>
    </row>
    <row r="509" spans="1:15" x14ac:dyDescent="0.25">
      <c r="A509">
        <v>18357</v>
      </c>
      <c r="B509" t="s">
        <v>20</v>
      </c>
      <c r="C509" t="s">
        <v>31</v>
      </c>
      <c r="D509" t="str">
        <f>IFERROR(INDEX(Sheet2!$B$2:$B$1132,MATCH(Sheet1!C509,Sheet1!$C$2:$C$1132,0)),"IDK")</f>
        <v>IT</v>
      </c>
      <c r="E509" t="s">
        <v>51</v>
      </c>
      <c r="F509" t="s">
        <v>54</v>
      </c>
      <c r="G509" s="1">
        <v>45601</v>
      </c>
      <c r="H509" t="s">
        <v>59</v>
      </c>
      <c r="I509" s="2" t="s">
        <v>168</v>
      </c>
      <c r="J509" s="2" t="s">
        <v>170</v>
      </c>
      <c r="K509">
        <f>IFERROR(INDEX(Sheet2!$C$2:$C$1132,MATCH(Sheet1!C509,Sheet1!$C$2:$C$1132,0)),"")</f>
        <v>25000</v>
      </c>
      <c r="L509">
        <f>IFERROR(INDEX(Sheet2!$D$2:$D$1132,MATCH(Sheet1!C509,$C$2:$C$1132,0)),"")</f>
        <v>75000</v>
      </c>
      <c r="M509" t="str">
        <f>IFERROR(INDEX($M$2:$M$1132,MATCH(B509,$B$2:$B$1132,0)),"")</f>
        <v>CLOUD, NETWORK, MACHINE LEARNING</v>
      </c>
      <c r="N509" t="s">
        <v>75</v>
      </c>
      <c r="O509" t="s">
        <v>80</v>
      </c>
    </row>
    <row r="510" spans="1:15" x14ac:dyDescent="0.25">
      <c r="A510">
        <v>18358</v>
      </c>
      <c r="B510" t="s">
        <v>20</v>
      </c>
      <c r="C510" t="s">
        <v>32</v>
      </c>
      <c r="D510" t="str">
        <f>IFERROR(INDEX(Sheet2!$B$2:$B$1132,MATCH(Sheet1!C510,Sheet1!$C$2:$C$1132,0)),"IDK")</f>
        <v>SOCIAL</v>
      </c>
      <c r="E510" t="s">
        <v>51</v>
      </c>
      <c r="F510" t="s">
        <v>54</v>
      </c>
      <c r="G510" s="1">
        <v>45654</v>
      </c>
      <c r="H510" t="s">
        <v>59</v>
      </c>
      <c r="I510" s="2" t="s">
        <v>171</v>
      </c>
      <c r="J510" s="2" t="s">
        <v>172</v>
      </c>
      <c r="K510">
        <f>IFERROR(INDEX(Sheet2!$C$2:$C$1132,MATCH(Sheet1!C510,Sheet1!$C$2:$C$1132,0)),"")</f>
        <v>20000</v>
      </c>
      <c r="L510">
        <f>IFERROR(INDEX(Sheet2!$D$2:$D$1132,MATCH(Sheet1!C510,$C$2:$C$1132,0)),"")</f>
        <v>70000</v>
      </c>
      <c r="M510" t="str">
        <f>IFERROR(INDEX($M$2:$M$1132,MATCH(B510,$B$2:$B$1132,0)),"")</f>
        <v>CLOUD, NETWORK, MACHINE LEARNING</v>
      </c>
      <c r="N510" t="s">
        <v>76</v>
      </c>
      <c r="O510" t="s">
        <v>79</v>
      </c>
    </row>
    <row r="511" spans="1:15" x14ac:dyDescent="0.25">
      <c r="A511">
        <v>18359</v>
      </c>
      <c r="B511" t="s">
        <v>20</v>
      </c>
      <c r="C511" t="s">
        <v>33</v>
      </c>
      <c r="D511" t="str">
        <f>IFERROR(INDEX(Sheet2!$B$2:$B$1132,MATCH(Sheet1!C511,Sheet1!$C$2:$C$1132,0)),"IDK")</f>
        <v>FINANCE</v>
      </c>
      <c r="E511" t="s">
        <v>51</v>
      </c>
      <c r="F511" t="s">
        <v>54</v>
      </c>
      <c r="G511" s="1">
        <v>45456</v>
      </c>
      <c r="H511" t="s">
        <v>59</v>
      </c>
      <c r="I511" s="2" t="s">
        <v>166</v>
      </c>
      <c r="J511" s="2" t="s">
        <v>167</v>
      </c>
      <c r="K511">
        <f>IFERROR(INDEX(Sheet2!$C$2:$C$1132,MATCH(Sheet1!C511,Sheet1!$C$2:$C$1132,0)),"")</f>
        <v>40000</v>
      </c>
      <c r="L511">
        <f>IFERROR(INDEX(Sheet2!$D$2:$D$1132,MATCH(Sheet1!C511,$C$2:$C$1132,0)),"")</f>
        <v>85000</v>
      </c>
      <c r="M511" t="str">
        <f>IFERROR(INDEX($M$2:$M$1132,MATCH(B511,$B$2:$B$1132,0)),"")</f>
        <v>CLOUD, NETWORK, MACHINE LEARNING</v>
      </c>
      <c r="N511" t="s">
        <v>76</v>
      </c>
      <c r="O511" t="s">
        <v>37</v>
      </c>
    </row>
    <row r="512" spans="1:15" x14ac:dyDescent="0.25">
      <c r="A512">
        <v>18360</v>
      </c>
      <c r="B512" t="s">
        <v>20</v>
      </c>
      <c r="C512" t="s">
        <v>24</v>
      </c>
      <c r="D512" t="str">
        <f>IFERROR(INDEX(Sheet2!$B$2:$B$1132,MATCH(Sheet1!C512,Sheet1!$C$2:$C$1132,0)),"IDK")</f>
        <v>HEALTH</v>
      </c>
      <c r="E512" t="s">
        <v>51</v>
      </c>
      <c r="F512" t="s">
        <v>54</v>
      </c>
      <c r="G512" s="1">
        <v>45363</v>
      </c>
      <c r="H512" t="s">
        <v>59</v>
      </c>
      <c r="I512" s="2" t="s">
        <v>168</v>
      </c>
      <c r="J512" s="2" t="s">
        <v>169</v>
      </c>
      <c r="K512">
        <f>IFERROR(INDEX(Sheet2!$C$2:$C$1132,MATCH(Sheet1!C512,Sheet1!$C$2:$C$1132,0)),"")</f>
        <v>25000</v>
      </c>
      <c r="L512">
        <f>IFERROR(INDEX(Sheet2!$D$2:$D$1132,MATCH(Sheet1!C512,$C$2:$C$1132,0)),"")</f>
        <v>50000</v>
      </c>
      <c r="M512" t="str">
        <f>IFERROR(INDEX($M$2:$M$1132,MATCH(B512,$B$2:$B$1132,0)),"")</f>
        <v>CLOUD, NETWORK, MACHINE LEARNING</v>
      </c>
      <c r="N512" t="s">
        <v>76</v>
      </c>
      <c r="O512" t="s">
        <v>78</v>
      </c>
    </row>
    <row r="513" spans="1:15" x14ac:dyDescent="0.25">
      <c r="A513">
        <v>18361</v>
      </c>
      <c r="B513" t="s">
        <v>20</v>
      </c>
      <c r="C513" t="s">
        <v>25</v>
      </c>
      <c r="D513" t="str">
        <f>IFERROR(INDEX(Sheet2!$B$2:$B$1132,MATCH(Sheet1!C513,Sheet1!$C$2:$C$1132,0)),"IDK")</f>
        <v>SOCIAL</v>
      </c>
      <c r="E513" t="s">
        <v>51</v>
      </c>
      <c r="F513" t="s">
        <v>54</v>
      </c>
      <c r="G513" s="1">
        <v>45312</v>
      </c>
      <c r="H513" t="s">
        <v>59</v>
      </c>
      <c r="I513" s="2" t="s">
        <v>168</v>
      </c>
      <c r="J513" s="2" t="s">
        <v>170</v>
      </c>
      <c r="K513">
        <f>IFERROR(INDEX(Sheet2!$C$2:$C$1132,MATCH(Sheet1!C513,Sheet1!$C$2:$C$1132,0)),"")</f>
        <v>30000</v>
      </c>
      <c r="L513">
        <f>IFERROR(INDEX(Sheet2!$D$2:$D$1132,MATCH(Sheet1!C513,$C$2:$C$1132,0)),"")</f>
        <v>60000</v>
      </c>
      <c r="M513" t="str">
        <f>IFERROR(INDEX($M$2:$M$1132,MATCH(B513,$B$2:$B$1132,0)),"")</f>
        <v>CLOUD, NETWORK, MACHINE LEARNING</v>
      </c>
      <c r="N513" t="s">
        <v>76</v>
      </c>
      <c r="O513" t="s">
        <v>79</v>
      </c>
    </row>
    <row r="514" spans="1:15" x14ac:dyDescent="0.25">
      <c r="A514">
        <v>18362</v>
      </c>
      <c r="B514" t="s">
        <v>20</v>
      </c>
      <c r="C514" t="s">
        <v>26</v>
      </c>
      <c r="D514" t="str">
        <f>IFERROR(INDEX(Sheet2!$B$2:$B$1132,MATCH(Sheet1!C514,Sheet1!$C$2:$C$1132,0)),"IDK")</f>
        <v>FINANCE</v>
      </c>
      <c r="E514" t="s">
        <v>51</v>
      </c>
      <c r="F514" t="s">
        <v>54</v>
      </c>
      <c r="G514" s="1">
        <v>45394</v>
      </c>
      <c r="H514" t="s">
        <v>59</v>
      </c>
      <c r="I514" s="2" t="s">
        <v>171</v>
      </c>
      <c r="J514" s="2" t="s">
        <v>172</v>
      </c>
      <c r="K514">
        <f>IFERROR(INDEX(Sheet2!$C$2:$C$1132,MATCH(Sheet1!C514,Sheet1!$C$2:$C$1132,0)),"")</f>
        <v>35000</v>
      </c>
      <c r="L514">
        <f>IFERROR(INDEX(Sheet2!$D$2:$D$1132,MATCH(Sheet1!C514,$C$2:$C$1132,0)),"")</f>
        <v>75000</v>
      </c>
      <c r="M514" t="str">
        <f>IFERROR(INDEX($M$2:$M$1132,MATCH(B514,$B$2:$B$1132,0)),"")</f>
        <v>CLOUD, NETWORK, MACHINE LEARNING</v>
      </c>
      <c r="N514" t="s">
        <v>76</v>
      </c>
      <c r="O514" t="s">
        <v>80</v>
      </c>
    </row>
    <row r="515" spans="1:15" x14ac:dyDescent="0.25">
      <c r="A515">
        <v>18363</v>
      </c>
      <c r="B515" t="s">
        <v>20</v>
      </c>
      <c r="C515" t="s">
        <v>27</v>
      </c>
      <c r="D515" t="str">
        <f>IFERROR(INDEX(Sheet2!$B$2:$B$1132,MATCH(Sheet1!C515,Sheet1!$C$2:$C$1132,0)),"IDK")</f>
        <v>IT</v>
      </c>
      <c r="E515" t="s">
        <v>51</v>
      </c>
      <c r="F515" t="s">
        <v>54</v>
      </c>
      <c r="G515" s="1">
        <v>45554</v>
      </c>
      <c r="H515" t="s">
        <v>59</v>
      </c>
      <c r="I515" s="2" t="s">
        <v>161</v>
      </c>
      <c r="J515" s="2" t="s">
        <v>162</v>
      </c>
      <c r="K515">
        <f>IFERROR(INDEX(Sheet2!$C$2:$C$1132,MATCH(Sheet1!C515,Sheet1!$C$2:$C$1132,0)),"")</f>
        <v>40000</v>
      </c>
      <c r="L515">
        <f>IFERROR(INDEX(Sheet2!$D$2:$D$1132,MATCH(Sheet1!C515,$C$2:$C$1132,0)),"")</f>
        <v>80000</v>
      </c>
      <c r="M515" t="str">
        <f>IFERROR(INDEX($M$2:$M$1132,MATCH(B515,$B$2:$B$1132,0)),"")</f>
        <v>CLOUD, NETWORK, MACHINE LEARNING</v>
      </c>
      <c r="N515" t="s">
        <v>76</v>
      </c>
      <c r="O515" t="s">
        <v>77</v>
      </c>
    </row>
    <row r="516" spans="1:15" x14ac:dyDescent="0.25">
      <c r="A516">
        <v>18364</v>
      </c>
      <c r="B516" t="s">
        <v>20</v>
      </c>
      <c r="C516" t="s">
        <v>28</v>
      </c>
      <c r="D516" t="str">
        <f>IFERROR(INDEX(Sheet2!$B$2:$B$1132,MATCH(Sheet1!C516,Sheet1!$C$2:$C$1132,0)),"IDK")</f>
        <v>IT</v>
      </c>
      <c r="E516" t="s">
        <v>51</v>
      </c>
      <c r="F516" t="s">
        <v>54</v>
      </c>
      <c r="G516" s="1">
        <v>45510</v>
      </c>
      <c r="H516" t="s">
        <v>59</v>
      </c>
      <c r="I516" s="2" t="s">
        <v>168</v>
      </c>
      <c r="J516" s="2" t="s">
        <v>169</v>
      </c>
      <c r="K516">
        <f>IFERROR(INDEX(Sheet2!$C$2:$C$1132,MATCH(Sheet1!C516,Sheet1!$C$2:$C$1132,0)),"")</f>
        <v>30000</v>
      </c>
      <c r="L516">
        <f>IFERROR(INDEX(Sheet2!$D$2:$D$1132,MATCH(Sheet1!C516,$C$2:$C$1132,0)),"")</f>
        <v>55000</v>
      </c>
      <c r="M516" t="str">
        <f>IFERROR(INDEX($M$2:$M$1132,MATCH(B516,$B$2:$B$1132,0)),"")</f>
        <v>CLOUD, NETWORK, MACHINE LEARNING</v>
      </c>
      <c r="N516" t="s">
        <v>74</v>
      </c>
      <c r="O516" t="s">
        <v>79</v>
      </c>
    </row>
    <row r="517" spans="1:15" x14ac:dyDescent="0.25">
      <c r="A517">
        <v>18365</v>
      </c>
      <c r="B517" t="s">
        <v>20</v>
      </c>
      <c r="C517" t="s">
        <v>29</v>
      </c>
      <c r="D517" t="str">
        <f>IFERROR(INDEX(Sheet2!$B$2:$B$1132,MATCH(Sheet1!C517,Sheet1!$C$2:$C$1132,0)),"IDK")</f>
        <v>IT</v>
      </c>
      <c r="E517" t="s">
        <v>51</v>
      </c>
      <c r="F517" t="s">
        <v>54</v>
      </c>
      <c r="G517" s="1">
        <v>45482</v>
      </c>
      <c r="H517" t="s">
        <v>60</v>
      </c>
      <c r="I517" s="2" t="s">
        <v>173</v>
      </c>
      <c r="J517" s="2" t="s">
        <v>173</v>
      </c>
      <c r="K517">
        <f>IFERROR(INDEX(Sheet2!$C$2:$C$1132,MATCH(Sheet1!C517,Sheet1!$C$2:$C$1132,0)),"")</f>
        <v>35000</v>
      </c>
      <c r="L517">
        <f>IFERROR(INDEX(Sheet2!$D$2:$D$1132,MATCH(Sheet1!C517,$C$2:$C$1132,0)),"")</f>
        <v>70000</v>
      </c>
      <c r="M517" t="str">
        <f>IFERROR(INDEX($M$2:$M$1132,MATCH(B517,$B$2:$B$1132,0)),"")</f>
        <v>CLOUD, NETWORK, MACHINE LEARNING</v>
      </c>
      <c r="N517" t="s">
        <v>74</v>
      </c>
      <c r="O517" t="s">
        <v>37</v>
      </c>
    </row>
    <row r="518" spans="1:15" x14ac:dyDescent="0.25">
      <c r="A518">
        <v>18366</v>
      </c>
      <c r="B518" t="s">
        <v>20</v>
      </c>
      <c r="C518" t="s">
        <v>23</v>
      </c>
      <c r="D518" t="str">
        <f>IFERROR(INDEX(Sheet2!$B$2:$B$1132,MATCH(Sheet1!C518,Sheet1!$C$2:$C$1132,0)),"IDK")</f>
        <v>IT</v>
      </c>
      <c r="E518" t="s">
        <v>51</v>
      </c>
      <c r="F518" t="s">
        <v>54</v>
      </c>
      <c r="G518" s="1">
        <v>45491</v>
      </c>
      <c r="H518" t="s">
        <v>60</v>
      </c>
      <c r="I518" s="3" t="s">
        <v>174</v>
      </c>
      <c r="J518" s="3" t="s">
        <v>174</v>
      </c>
      <c r="K518">
        <f>IFERROR(INDEX(Sheet2!$C$2:$C$1132,MATCH(Sheet1!C518,Sheet1!$C$2:$C$1132,0)),"")</f>
        <v>35000</v>
      </c>
      <c r="L518">
        <f>IFERROR(INDEX(Sheet2!$D$2:$D$1132,MATCH(Sheet1!C518,$C$2:$C$1132,0)),"")</f>
        <v>70000</v>
      </c>
      <c r="M518" t="str">
        <f>IFERROR(INDEX($M$2:$M$1132,MATCH(B518,$B$2:$B$1132,0)),"")</f>
        <v>CLOUD, NETWORK, MACHINE LEARNING</v>
      </c>
      <c r="N518" t="s">
        <v>74</v>
      </c>
      <c r="O518" t="s">
        <v>78</v>
      </c>
    </row>
    <row r="519" spans="1:15" x14ac:dyDescent="0.25">
      <c r="A519">
        <v>18367</v>
      </c>
      <c r="B519" t="s">
        <v>20</v>
      </c>
      <c r="C519" t="s">
        <v>30</v>
      </c>
      <c r="D519" t="str">
        <f>IFERROR(INDEX(Sheet2!$B$2:$B$1132,MATCH(Sheet1!C519,Sheet1!$C$2:$C$1132,0)),"IDK")</f>
        <v>IT</v>
      </c>
      <c r="E519" t="s">
        <v>51</v>
      </c>
      <c r="F519" t="s">
        <v>54</v>
      </c>
      <c r="G519" s="1">
        <v>45479</v>
      </c>
      <c r="H519" t="s">
        <v>60</v>
      </c>
      <c r="I519" s="2" t="s">
        <v>175</v>
      </c>
      <c r="J519" s="2" t="s">
        <v>175</v>
      </c>
      <c r="K519">
        <f>IFERROR(INDEX(Sheet2!$C$2:$C$1132,MATCH(Sheet1!C519,Sheet1!$C$2:$C$1132,0)),"")</f>
        <v>25000</v>
      </c>
      <c r="L519">
        <f>IFERROR(INDEX(Sheet2!$D$2:$D$1132,MATCH(Sheet1!C519,$C$2:$C$1132,0)),"")</f>
        <v>60000</v>
      </c>
      <c r="M519" t="str">
        <f>IFERROR(INDEX($M$2:$M$1132,MATCH(B519,$B$2:$B$1132,0)),"")</f>
        <v>CLOUD, NETWORK, MACHINE LEARNING</v>
      </c>
      <c r="N519" t="s">
        <v>74</v>
      </c>
      <c r="O519" t="s">
        <v>80</v>
      </c>
    </row>
    <row r="520" spans="1:15" x14ac:dyDescent="0.25">
      <c r="A520">
        <v>18368</v>
      </c>
      <c r="B520" t="s">
        <v>20</v>
      </c>
      <c r="C520" t="s">
        <v>31</v>
      </c>
      <c r="D520" t="str">
        <f>IFERROR(INDEX(Sheet2!$B$2:$B$1132,MATCH(Sheet1!C520,Sheet1!$C$2:$C$1132,0)),"IDK")</f>
        <v>IT</v>
      </c>
      <c r="E520" t="s">
        <v>51</v>
      </c>
      <c r="F520" t="s">
        <v>54</v>
      </c>
      <c r="G520" s="1">
        <v>45378</v>
      </c>
      <c r="H520" t="s">
        <v>60</v>
      </c>
      <c r="I520" s="2" t="s">
        <v>176</v>
      </c>
      <c r="J520" s="2" t="s">
        <v>177</v>
      </c>
      <c r="K520">
        <f>IFERROR(INDEX(Sheet2!$C$2:$C$1132,MATCH(Sheet1!C520,Sheet1!$C$2:$C$1132,0)),"")</f>
        <v>25000</v>
      </c>
      <c r="L520">
        <f>IFERROR(INDEX(Sheet2!$D$2:$D$1132,MATCH(Sheet1!C520,$C$2:$C$1132,0)),"")</f>
        <v>75000</v>
      </c>
      <c r="M520" t="str">
        <f>IFERROR(INDEX($M$2:$M$1132,MATCH(B520,$B$2:$B$1132,0)),"")</f>
        <v>CLOUD, NETWORK, MACHINE LEARNING</v>
      </c>
      <c r="N520" t="s">
        <v>74</v>
      </c>
      <c r="O520" t="s">
        <v>79</v>
      </c>
    </row>
    <row r="521" spans="1:15" x14ac:dyDescent="0.25">
      <c r="A521">
        <v>18369</v>
      </c>
      <c r="B521" t="s">
        <v>20</v>
      </c>
      <c r="C521" t="s">
        <v>32</v>
      </c>
      <c r="D521" t="str">
        <f>IFERROR(INDEX(Sheet2!$B$2:$B$1132,MATCH(Sheet1!C521,Sheet1!$C$2:$C$1132,0)),"IDK")</f>
        <v>SOCIAL</v>
      </c>
      <c r="E521" t="s">
        <v>51</v>
      </c>
      <c r="F521" t="s">
        <v>54</v>
      </c>
      <c r="G521" s="1">
        <v>45521</v>
      </c>
      <c r="H521" t="s">
        <v>60</v>
      </c>
      <c r="I521" s="2" t="s">
        <v>178</v>
      </c>
      <c r="J521" s="2" t="s">
        <v>179</v>
      </c>
      <c r="K521">
        <f>IFERROR(INDEX(Sheet2!$C$2:$C$1132,MATCH(Sheet1!C521,Sheet1!$C$2:$C$1132,0)),"")</f>
        <v>20000</v>
      </c>
      <c r="L521">
        <f>IFERROR(INDEX(Sheet2!$D$2:$D$1132,MATCH(Sheet1!C521,$C$2:$C$1132,0)),"")</f>
        <v>70000</v>
      </c>
      <c r="M521" t="str">
        <f>IFERROR(INDEX($M$2:$M$1132,MATCH(B521,$B$2:$B$1132,0)),"")</f>
        <v>CLOUD, NETWORK, MACHINE LEARNING</v>
      </c>
      <c r="N521" t="s">
        <v>74</v>
      </c>
      <c r="O521" t="s">
        <v>37</v>
      </c>
    </row>
    <row r="522" spans="1:15" x14ac:dyDescent="0.25">
      <c r="A522">
        <v>18370</v>
      </c>
      <c r="B522" t="s">
        <v>20</v>
      </c>
      <c r="C522" t="s">
        <v>33</v>
      </c>
      <c r="D522" t="str">
        <f>IFERROR(INDEX(Sheet2!$B$2:$B$1132,MATCH(Sheet1!C522,Sheet1!$C$2:$C$1132,0)),"IDK")</f>
        <v>FINANCE</v>
      </c>
      <c r="E522" t="s">
        <v>51</v>
      </c>
      <c r="F522" t="s">
        <v>54</v>
      </c>
      <c r="G522" s="1">
        <v>45509</v>
      </c>
      <c r="H522" t="s">
        <v>60</v>
      </c>
      <c r="I522" s="2" t="s">
        <v>173</v>
      </c>
      <c r="J522" s="2" t="s">
        <v>173</v>
      </c>
      <c r="K522">
        <f>IFERROR(INDEX(Sheet2!$C$2:$C$1132,MATCH(Sheet1!C522,Sheet1!$C$2:$C$1132,0)),"")</f>
        <v>40000</v>
      </c>
      <c r="L522">
        <f>IFERROR(INDEX(Sheet2!$D$2:$D$1132,MATCH(Sheet1!C522,$C$2:$C$1132,0)),"")</f>
        <v>85000</v>
      </c>
      <c r="M522" t="str">
        <f>IFERROR(INDEX($M$2:$M$1132,MATCH(B522,$B$2:$B$1132,0)),"")</f>
        <v>CLOUD, NETWORK, MACHINE LEARNING</v>
      </c>
      <c r="N522" t="s">
        <v>75</v>
      </c>
      <c r="O522" t="s">
        <v>78</v>
      </c>
    </row>
    <row r="523" spans="1:15" x14ac:dyDescent="0.25">
      <c r="A523">
        <v>18371</v>
      </c>
      <c r="B523" t="s">
        <v>20</v>
      </c>
      <c r="C523" t="s">
        <v>34</v>
      </c>
      <c r="D523" t="str">
        <f>IFERROR(INDEX(Sheet2!$B$2:$B$1132,MATCH(Sheet1!C523,Sheet1!$C$2:$C$1132,0)),"IDK")</f>
        <v>IT</v>
      </c>
      <c r="E523" t="s">
        <v>51</v>
      </c>
      <c r="F523" t="s">
        <v>54</v>
      </c>
      <c r="G523" s="1">
        <v>45369</v>
      </c>
      <c r="H523" t="s">
        <v>60</v>
      </c>
      <c r="I523" s="3" t="s">
        <v>174</v>
      </c>
      <c r="J523" s="3" t="s">
        <v>174</v>
      </c>
      <c r="K523">
        <f>IFERROR(INDEX(Sheet2!$C$2:$C$1132,MATCH(Sheet1!C523,Sheet1!$C$2:$C$1132,0)),"")</f>
        <v>35000</v>
      </c>
      <c r="L523">
        <f>IFERROR(INDEX(Sheet2!$D$2:$D$1132,MATCH(Sheet1!C523,$C$2:$C$1132,0)),"")</f>
        <v>90000</v>
      </c>
      <c r="M523" t="str">
        <f>IFERROR(INDEX($M$2:$M$1132,MATCH(B523,$B$2:$B$1132,0)),"")</f>
        <v>CLOUD, NETWORK, MACHINE LEARNING</v>
      </c>
      <c r="N523" t="s">
        <v>75</v>
      </c>
      <c r="O523" t="s">
        <v>79</v>
      </c>
    </row>
    <row r="524" spans="1:15" x14ac:dyDescent="0.25">
      <c r="A524">
        <v>18372</v>
      </c>
      <c r="B524" t="s">
        <v>20</v>
      </c>
      <c r="C524" t="s">
        <v>35</v>
      </c>
      <c r="D524" t="str">
        <f>IFERROR(INDEX(Sheet2!$B$2:$B$1132,MATCH(Sheet1!C524,Sheet1!$C$2:$C$1132,0)),"IDK")</f>
        <v>SOCIAL</v>
      </c>
      <c r="E524" t="s">
        <v>51</v>
      </c>
      <c r="F524" t="s">
        <v>54</v>
      </c>
      <c r="G524" s="1">
        <v>45552</v>
      </c>
      <c r="H524" t="s">
        <v>60</v>
      </c>
      <c r="I524" s="2" t="s">
        <v>175</v>
      </c>
      <c r="J524" s="2" t="s">
        <v>175</v>
      </c>
      <c r="K524">
        <f>IFERROR(INDEX(Sheet2!$C$2:$C$1132,MATCH(Sheet1!C524,Sheet1!$C$2:$C$1132,0)),"")</f>
        <v>30000</v>
      </c>
      <c r="L524">
        <f>IFERROR(INDEX(Sheet2!$D$2:$D$1132,MATCH(Sheet1!C524,$C$2:$C$1132,0)),"")</f>
        <v>95000</v>
      </c>
      <c r="M524" t="str">
        <f>IFERROR(INDEX($M$2:$M$1132,MATCH(B524,$B$2:$B$1132,0)),"")</f>
        <v>CLOUD, NETWORK, MACHINE LEARNING</v>
      </c>
      <c r="N524" t="s">
        <v>75</v>
      </c>
      <c r="O524" t="s">
        <v>80</v>
      </c>
    </row>
    <row r="525" spans="1:15" x14ac:dyDescent="0.25">
      <c r="A525">
        <v>18373</v>
      </c>
      <c r="B525" t="s">
        <v>20</v>
      </c>
      <c r="C525" t="s">
        <v>36</v>
      </c>
      <c r="D525" t="str">
        <f>IFERROR(INDEX(Sheet2!$B$2:$B$1132,MATCH(Sheet1!C525,Sheet1!$C$2:$C$1132,0)),"IDK")</f>
        <v>IT</v>
      </c>
      <c r="E525" t="s">
        <v>51</v>
      </c>
      <c r="F525" t="s">
        <v>54</v>
      </c>
      <c r="G525" s="1">
        <v>45586</v>
      </c>
      <c r="H525" t="s">
        <v>60</v>
      </c>
      <c r="I525" s="2" t="s">
        <v>176</v>
      </c>
      <c r="J525" s="2" t="s">
        <v>177</v>
      </c>
      <c r="K525">
        <f>IFERROR(INDEX(Sheet2!$C$2:$C$1132,MATCH(Sheet1!C525,Sheet1!$C$2:$C$1132,0)),"")</f>
        <v>50000</v>
      </c>
      <c r="L525">
        <f>IFERROR(INDEX(Sheet2!$D$2:$D$1132,MATCH(Sheet1!C525,$C$2:$C$1132,0)),"")</f>
        <v>100000</v>
      </c>
      <c r="M525" t="str">
        <f>IFERROR(INDEX($M$2:$M$1132,MATCH(B525,$B$2:$B$1132,0)),"")</f>
        <v>CLOUD, NETWORK, MACHINE LEARNING</v>
      </c>
      <c r="N525" t="s">
        <v>75</v>
      </c>
      <c r="O525" t="s">
        <v>77</v>
      </c>
    </row>
    <row r="526" spans="1:15" x14ac:dyDescent="0.25">
      <c r="A526">
        <v>18374</v>
      </c>
      <c r="B526" t="s">
        <v>20</v>
      </c>
      <c r="C526" t="s">
        <v>27</v>
      </c>
      <c r="D526" t="str">
        <f>IFERROR(INDEX(Sheet2!$B$2:$B$1132,MATCH(Sheet1!C526,Sheet1!$C$2:$C$1132,0)),"IDK")</f>
        <v>IT</v>
      </c>
      <c r="E526" t="s">
        <v>51</v>
      </c>
      <c r="F526" t="s">
        <v>54</v>
      </c>
      <c r="G526" s="1">
        <v>45369</v>
      </c>
      <c r="H526" t="s">
        <v>60</v>
      </c>
      <c r="I526" s="2" t="s">
        <v>178</v>
      </c>
      <c r="J526" s="2" t="s">
        <v>179</v>
      </c>
      <c r="K526">
        <f>IFERROR(INDEX(Sheet2!$C$2:$C$1132,MATCH(Sheet1!C526,Sheet1!$C$2:$C$1132,0)),"")</f>
        <v>40000</v>
      </c>
      <c r="L526">
        <f>IFERROR(INDEX(Sheet2!$D$2:$D$1132,MATCH(Sheet1!C526,$C$2:$C$1132,0)),"")</f>
        <v>80000</v>
      </c>
      <c r="M526" t="str">
        <f>IFERROR(INDEX($M$2:$M$1132,MATCH(B526,$B$2:$B$1132,0)),"")</f>
        <v>CLOUD, NETWORK, MACHINE LEARNING</v>
      </c>
      <c r="N526" t="s">
        <v>75</v>
      </c>
      <c r="O526" t="s">
        <v>79</v>
      </c>
    </row>
    <row r="527" spans="1:15" x14ac:dyDescent="0.25">
      <c r="A527">
        <v>18375</v>
      </c>
      <c r="B527" t="s">
        <v>20</v>
      </c>
      <c r="C527" t="s">
        <v>28</v>
      </c>
      <c r="D527" t="str">
        <f>IFERROR(INDEX(Sheet2!$B$2:$B$1132,MATCH(Sheet1!C527,Sheet1!$C$2:$C$1132,0)),"IDK")</f>
        <v>IT</v>
      </c>
      <c r="E527" t="s">
        <v>51</v>
      </c>
      <c r="F527" t="s">
        <v>54</v>
      </c>
      <c r="G527" s="1">
        <v>45572</v>
      </c>
      <c r="H527" t="s">
        <v>60</v>
      </c>
      <c r="I527" s="3" t="s">
        <v>174</v>
      </c>
      <c r="J527" s="3" t="s">
        <v>174</v>
      </c>
      <c r="K527">
        <f>IFERROR(INDEX(Sheet2!$C$2:$C$1132,MATCH(Sheet1!C527,Sheet1!$C$2:$C$1132,0)),"")</f>
        <v>30000</v>
      </c>
      <c r="L527">
        <f>IFERROR(INDEX(Sheet2!$D$2:$D$1132,MATCH(Sheet1!C527,$C$2:$C$1132,0)),"")</f>
        <v>55000</v>
      </c>
      <c r="M527" t="str">
        <f>IFERROR(INDEX($M$2:$M$1132,MATCH(B527,$B$2:$B$1132,0)),"")</f>
        <v>CLOUD, NETWORK, MACHINE LEARNING</v>
      </c>
      <c r="N527" t="s">
        <v>76</v>
      </c>
      <c r="O527" t="s">
        <v>37</v>
      </c>
    </row>
    <row r="528" spans="1:15" x14ac:dyDescent="0.25">
      <c r="A528">
        <v>18376</v>
      </c>
      <c r="B528" t="s">
        <v>20</v>
      </c>
      <c r="C528" t="s">
        <v>29</v>
      </c>
      <c r="D528" t="str">
        <f>IFERROR(INDEX(Sheet2!$B$2:$B$1132,MATCH(Sheet1!C528,Sheet1!$C$2:$C$1132,0)),"IDK")</f>
        <v>IT</v>
      </c>
      <c r="E528" t="s">
        <v>51</v>
      </c>
      <c r="F528" t="s">
        <v>54</v>
      </c>
      <c r="G528" s="1">
        <v>45293</v>
      </c>
      <c r="H528" t="s">
        <v>60</v>
      </c>
      <c r="I528" s="2" t="s">
        <v>175</v>
      </c>
      <c r="J528" s="2" t="s">
        <v>175</v>
      </c>
      <c r="K528">
        <f>IFERROR(INDEX(Sheet2!$C$2:$C$1132,MATCH(Sheet1!C528,Sheet1!$C$2:$C$1132,0)),"")</f>
        <v>35000</v>
      </c>
      <c r="L528">
        <f>IFERROR(INDEX(Sheet2!$D$2:$D$1132,MATCH(Sheet1!C528,$C$2:$C$1132,0)),"")</f>
        <v>70000</v>
      </c>
      <c r="M528" t="str">
        <f>IFERROR(INDEX($M$2:$M$1132,MATCH(B528,$B$2:$B$1132,0)),"")</f>
        <v>CLOUD, NETWORK, MACHINE LEARNING</v>
      </c>
      <c r="N528" t="s">
        <v>76</v>
      </c>
      <c r="O528" t="s">
        <v>78</v>
      </c>
    </row>
    <row r="529" spans="1:15" x14ac:dyDescent="0.25">
      <c r="A529">
        <v>18377</v>
      </c>
      <c r="B529" t="s">
        <v>20</v>
      </c>
      <c r="C529" t="s">
        <v>23</v>
      </c>
      <c r="D529" t="str">
        <f>IFERROR(INDEX(Sheet2!$B$2:$B$1132,MATCH(Sheet1!C529,Sheet1!$C$2:$C$1132,0)),"IDK")</f>
        <v>IT</v>
      </c>
      <c r="E529" t="s">
        <v>51</v>
      </c>
      <c r="F529" t="s">
        <v>54</v>
      </c>
      <c r="G529" s="1">
        <v>45518</v>
      </c>
      <c r="H529" t="s">
        <v>60</v>
      </c>
      <c r="I529" s="2" t="s">
        <v>176</v>
      </c>
      <c r="J529" s="2" t="s">
        <v>177</v>
      </c>
      <c r="K529">
        <f>IFERROR(INDEX(Sheet2!$C$2:$C$1132,MATCH(Sheet1!C529,Sheet1!$C$2:$C$1132,0)),"")</f>
        <v>35000</v>
      </c>
      <c r="L529">
        <f>IFERROR(INDEX(Sheet2!$D$2:$D$1132,MATCH(Sheet1!C529,$C$2:$C$1132,0)),"")</f>
        <v>70000</v>
      </c>
      <c r="M529" t="str">
        <f>IFERROR(INDEX($M$2:$M$1132,MATCH(B529,$B$2:$B$1132,0)),"")</f>
        <v>CLOUD, NETWORK, MACHINE LEARNING</v>
      </c>
      <c r="N529" t="s">
        <v>76</v>
      </c>
      <c r="O529" t="s">
        <v>78</v>
      </c>
    </row>
    <row r="530" spans="1:15" x14ac:dyDescent="0.25">
      <c r="A530">
        <v>18378</v>
      </c>
      <c r="B530" t="s">
        <v>20</v>
      </c>
      <c r="C530" t="s">
        <v>30</v>
      </c>
      <c r="D530" t="str">
        <f>IFERROR(INDEX(Sheet2!$B$2:$B$1132,MATCH(Sheet1!C530,Sheet1!$C$2:$C$1132,0)),"IDK")</f>
        <v>IT</v>
      </c>
      <c r="E530" t="s">
        <v>51</v>
      </c>
      <c r="F530" t="s">
        <v>54</v>
      </c>
      <c r="G530" s="1">
        <v>45640</v>
      </c>
      <c r="H530" t="s">
        <v>60</v>
      </c>
      <c r="I530" s="2" t="s">
        <v>178</v>
      </c>
      <c r="J530" s="2" t="s">
        <v>179</v>
      </c>
      <c r="K530">
        <f>IFERROR(INDEX(Sheet2!$C$2:$C$1132,MATCH(Sheet1!C530,Sheet1!$C$2:$C$1132,0)),"")</f>
        <v>25000</v>
      </c>
      <c r="L530">
        <f>IFERROR(INDEX(Sheet2!$D$2:$D$1132,MATCH(Sheet1!C530,$C$2:$C$1132,0)),"")</f>
        <v>60000</v>
      </c>
      <c r="M530" t="str">
        <f>IFERROR(INDEX($M$2:$M$1132,MATCH(B530,$B$2:$B$1132,0)),"")</f>
        <v>CLOUD, NETWORK, MACHINE LEARNING</v>
      </c>
      <c r="N530" t="s">
        <v>76</v>
      </c>
      <c r="O530" t="s">
        <v>79</v>
      </c>
    </row>
    <row r="531" spans="1:15" x14ac:dyDescent="0.25">
      <c r="A531">
        <v>18379</v>
      </c>
      <c r="B531" t="s">
        <v>20</v>
      </c>
      <c r="C531" t="s">
        <v>31</v>
      </c>
      <c r="D531" t="str">
        <f>IFERROR(INDEX(Sheet2!$B$2:$B$1132,MATCH(Sheet1!C531,Sheet1!$C$2:$C$1132,0)),"IDK")</f>
        <v>IT</v>
      </c>
      <c r="E531" t="s">
        <v>51</v>
      </c>
      <c r="F531" t="s">
        <v>54</v>
      </c>
      <c r="G531" s="1">
        <v>45312</v>
      </c>
      <c r="H531" t="s">
        <v>60</v>
      </c>
      <c r="I531" s="2" t="s">
        <v>173</v>
      </c>
      <c r="J531" s="2" t="s">
        <v>173</v>
      </c>
      <c r="K531">
        <f>IFERROR(INDEX(Sheet2!$C$2:$C$1132,MATCH(Sheet1!C531,Sheet1!$C$2:$C$1132,0)),"")</f>
        <v>25000</v>
      </c>
      <c r="L531">
        <f>IFERROR(INDEX(Sheet2!$D$2:$D$1132,MATCH(Sheet1!C531,$C$2:$C$1132,0)),"")</f>
        <v>75000</v>
      </c>
      <c r="M531" t="str">
        <f>IFERROR(INDEX($M$2:$M$1132,MATCH(B531,$B$2:$B$1132,0)),"")</f>
        <v>CLOUD, NETWORK, MACHINE LEARNING</v>
      </c>
      <c r="N531" t="s">
        <v>76</v>
      </c>
      <c r="O531" t="s">
        <v>80</v>
      </c>
    </row>
    <row r="532" spans="1:15" x14ac:dyDescent="0.25">
      <c r="A532">
        <v>18380</v>
      </c>
      <c r="B532" t="s">
        <v>20</v>
      </c>
      <c r="C532" t="s">
        <v>32</v>
      </c>
      <c r="D532" t="str">
        <f>IFERROR(INDEX(Sheet2!$B$2:$B$1132,MATCH(Sheet1!C532,Sheet1!$C$2:$C$1132,0)),"IDK")</f>
        <v>SOCIAL</v>
      </c>
      <c r="E532" t="s">
        <v>51</v>
      </c>
      <c r="F532" t="s">
        <v>54</v>
      </c>
      <c r="G532" s="1">
        <v>45633</v>
      </c>
      <c r="H532" t="s">
        <v>60</v>
      </c>
      <c r="I532" s="3" t="s">
        <v>174</v>
      </c>
      <c r="J532" s="3" t="s">
        <v>174</v>
      </c>
      <c r="K532">
        <f>IFERROR(INDEX(Sheet2!$C$2:$C$1132,MATCH(Sheet1!C532,Sheet1!$C$2:$C$1132,0)),"")</f>
        <v>20000</v>
      </c>
      <c r="L532">
        <f>IFERROR(INDEX(Sheet2!$D$2:$D$1132,MATCH(Sheet1!C532,$C$2:$C$1132,0)),"")</f>
        <v>70000</v>
      </c>
      <c r="M532" t="str">
        <f>IFERROR(INDEX($M$2:$M$1132,MATCH(B532,$B$2:$B$1132,0)),"")</f>
        <v>CLOUD, NETWORK, MACHINE LEARNING</v>
      </c>
      <c r="N532" t="s">
        <v>76</v>
      </c>
      <c r="O532" t="s">
        <v>77</v>
      </c>
    </row>
    <row r="533" spans="1:15" x14ac:dyDescent="0.25">
      <c r="A533">
        <v>18381</v>
      </c>
      <c r="B533" t="s">
        <v>20</v>
      </c>
      <c r="C533" t="s">
        <v>33</v>
      </c>
      <c r="D533" t="str">
        <f>IFERROR(INDEX(Sheet2!$B$2:$B$1132,MATCH(Sheet1!C533,Sheet1!$C$2:$C$1132,0)),"IDK")</f>
        <v>FINANCE</v>
      </c>
      <c r="E533" t="s">
        <v>51</v>
      </c>
      <c r="F533" t="s">
        <v>54</v>
      </c>
      <c r="G533" s="1">
        <v>45521</v>
      </c>
      <c r="H533" t="s">
        <v>60</v>
      </c>
      <c r="I533" s="2" t="s">
        <v>175</v>
      </c>
      <c r="J533" s="2" t="s">
        <v>175</v>
      </c>
      <c r="K533">
        <f>IFERROR(INDEX(Sheet2!$C$2:$C$1132,MATCH(Sheet1!C533,Sheet1!$C$2:$C$1132,0)),"")</f>
        <v>40000</v>
      </c>
      <c r="L533">
        <f>IFERROR(INDEX(Sheet2!$D$2:$D$1132,MATCH(Sheet1!C533,$C$2:$C$1132,0)),"")</f>
        <v>85000</v>
      </c>
      <c r="M533" t="str">
        <f>IFERROR(INDEX($M$2:$M$1132,MATCH(B533,$B$2:$B$1132,0)),"")</f>
        <v>CLOUD, NETWORK, MACHINE LEARNING</v>
      </c>
      <c r="N533" t="s">
        <v>74</v>
      </c>
      <c r="O533" t="s">
        <v>79</v>
      </c>
    </row>
    <row r="534" spans="1:15" x14ac:dyDescent="0.25">
      <c r="A534">
        <v>18382</v>
      </c>
      <c r="B534" t="s">
        <v>20</v>
      </c>
      <c r="C534" t="s">
        <v>23</v>
      </c>
      <c r="D534" t="str">
        <f>IFERROR(INDEX(Sheet2!$B$2:$B$1132,MATCH(Sheet1!C534,Sheet1!$C$2:$C$1132,0)),"IDK")</f>
        <v>IT</v>
      </c>
      <c r="E534" t="s">
        <v>51</v>
      </c>
      <c r="F534" t="s">
        <v>54</v>
      </c>
      <c r="G534" s="1">
        <v>45646</v>
      </c>
      <c r="H534" t="s">
        <v>60</v>
      </c>
      <c r="I534" s="2" t="s">
        <v>176</v>
      </c>
      <c r="J534" s="2" t="s">
        <v>177</v>
      </c>
      <c r="K534">
        <f>IFERROR(INDEX(Sheet2!$C$2:$C$1132,MATCH(Sheet1!C534,Sheet1!$C$2:$C$1132,0)),"")</f>
        <v>35000</v>
      </c>
      <c r="L534">
        <f>IFERROR(INDEX(Sheet2!$D$2:$D$1132,MATCH(Sheet1!C534,$C$2:$C$1132,0)),"")</f>
        <v>70000</v>
      </c>
      <c r="M534" t="str">
        <f>IFERROR(INDEX($M$2:$M$1132,MATCH(B534,$B$2:$B$1132,0)),"")</f>
        <v>CLOUD, NETWORK, MACHINE LEARNING</v>
      </c>
      <c r="N534" t="s">
        <v>74</v>
      </c>
      <c r="O534" t="s">
        <v>37</v>
      </c>
    </row>
    <row r="535" spans="1:15" x14ac:dyDescent="0.25">
      <c r="A535">
        <v>18383</v>
      </c>
      <c r="B535" t="s">
        <v>20</v>
      </c>
      <c r="C535" t="s">
        <v>24</v>
      </c>
      <c r="D535" t="str">
        <f>IFERROR(INDEX(Sheet2!$B$2:$B$1132,MATCH(Sheet1!C535,Sheet1!$C$2:$C$1132,0)),"IDK")</f>
        <v>HEALTH</v>
      </c>
      <c r="E535" t="s">
        <v>51</v>
      </c>
      <c r="F535" t="s">
        <v>54</v>
      </c>
      <c r="G535" s="1">
        <v>45638</v>
      </c>
      <c r="H535" t="s">
        <v>60</v>
      </c>
      <c r="I535" s="2" t="s">
        <v>178</v>
      </c>
      <c r="J535" s="2" t="s">
        <v>179</v>
      </c>
      <c r="K535">
        <f>IFERROR(INDEX(Sheet2!$C$2:$C$1132,MATCH(Sheet1!C535,Sheet1!$C$2:$C$1132,0)),"")</f>
        <v>25000</v>
      </c>
      <c r="L535">
        <f>IFERROR(INDEX(Sheet2!$D$2:$D$1132,MATCH(Sheet1!C535,$C$2:$C$1132,0)),"")</f>
        <v>50000</v>
      </c>
      <c r="M535" t="str">
        <f>IFERROR(INDEX($M$2:$M$1132,MATCH(B535,$B$2:$B$1132,0)),"")</f>
        <v>CLOUD, NETWORK, MACHINE LEARNING</v>
      </c>
      <c r="N535" t="s">
        <v>74</v>
      </c>
      <c r="O535" t="s">
        <v>78</v>
      </c>
    </row>
    <row r="536" spans="1:15" x14ac:dyDescent="0.25">
      <c r="A536">
        <v>18384</v>
      </c>
      <c r="B536" t="s">
        <v>20</v>
      </c>
      <c r="C536" t="s">
        <v>25</v>
      </c>
      <c r="D536" t="str">
        <f>IFERROR(INDEX(Sheet2!$B$2:$B$1132,MATCH(Sheet1!C536,Sheet1!$C$2:$C$1132,0)),"IDK")</f>
        <v>SOCIAL</v>
      </c>
      <c r="E536" t="s">
        <v>51</v>
      </c>
      <c r="F536" t="s">
        <v>54</v>
      </c>
      <c r="G536" s="1">
        <v>45647</v>
      </c>
      <c r="H536" t="s">
        <v>60</v>
      </c>
      <c r="I536" s="3" t="s">
        <v>174</v>
      </c>
      <c r="J536" s="3" t="s">
        <v>174</v>
      </c>
      <c r="K536">
        <f>IFERROR(INDEX(Sheet2!$C$2:$C$1132,MATCH(Sheet1!C536,Sheet1!$C$2:$C$1132,0)),"")</f>
        <v>30000</v>
      </c>
      <c r="L536">
        <f>IFERROR(INDEX(Sheet2!$D$2:$D$1132,MATCH(Sheet1!C536,$C$2:$C$1132,0)),"")</f>
        <v>60000</v>
      </c>
      <c r="M536" t="str">
        <f>IFERROR(INDEX($M$2:$M$1132,MATCH(B536,$B$2:$B$1132,0)),"")</f>
        <v>CLOUD, NETWORK, MACHINE LEARNING</v>
      </c>
      <c r="N536" t="s">
        <v>74</v>
      </c>
      <c r="O536" t="s">
        <v>80</v>
      </c>
    </row>
    <row r="537" spans="1:15" x14ac:dyDescent="0.25">
      <c r="A537">
        <v>18385</v>
      </c>
      <c r="B537" t="s">
        <v>20</v>
      </c>
      <c r="C537" t="s">
        <v>26</v>
      </c>
      <c r="D537" t="str">
        <f>IFERROR(INDEX(Sheet2!$B$2:$B$1132,MATCH(Sheet1!C537,Sheet1!$C$2:$C$1132,0)),"IDK")</f>
        <v>FINANCE</v>
      </c>
      <c r="E537" t="s">
        <v>51</v>
      </c>
      <c r="F537" t="s">
        <v>54</v>
      </c>
      <c r="G537" s="1">
        <v>45314</v>
      </c>
      <c r="H537" t="s">
        <v>60</v>
      </c>
      <c r="I537" s="2" t="s">
        <v>175</v>
      </c>
      <c r="J537" s="2" t="s">
        <v>175</v>
      </c>
      <c r="K537">
        <f>IFERROR(INDEX(Sheet2!$C$2:$C$1132,MATCH(Sheet1!C537,Sheet1!$C$2:$C$1132,0)),"")</f>
        <v>35000</v>
      </c>
      <c r="L537">
        <f>IFERROR(INDEX(Sheet2!$D$2:$D$1132,MATCH(Sheet1!C537,$C$2:$C$1132,0)),"")</f>
        <v>75000</v>
      </c>
      <c r="M537" t="str">
        <f>IFERROR(INDEX($M$2:$M$1132,MATCH(B537,$B$2:$B$1132,0)),"")</f>
        <v>CLOUD, NETWORK, MACHINE LEARNING</v>
      </c>
      <c r="N537" t="s">
        <v>74</v>
      </c>
      <c r="O537" t="s">
        <v>79</v>
      </c>
    </row>
    <row r="538" spans="1:15" x14ac:dyDescent="0.25">
      <c r="A538">
        <v>18386</v>
      </c>
      <c r="B538" t="s">
        <v>20</v>
      </c>
      <c r="C538" t="s">
        <v>37</v>
      </c>
      <c r="D538" t="s">
        <v>43</v>
      </c>
      <c r="E538" t="s">
        <v>49</v>
      </c>
      <c r="F538" t="s">
        <v>54</v>
      </c>
      <c r="G538" s="1">
        <v>45416</v>
      </c>
      <c r="H538" t="s">
        <v>60</v>
      </c>
      <c r="I538" s="2" t="s">
        <v>176</v>
      </c>
      <c r="J538" s="2" t="s">
        <v>177</v>
      </c>
      <c r="K538">
        <v>45000</v>
      </c>
      <c r="L538">
        <v>90000</v>
      </c>
      <c r="M538" t="str">
        <f>IFERROR(INDEX($M$2:$M$1132,MATCH(B538,$B$2:$B$1132,0)),"")</f>
        <v>CLOUD, NETWORK, MACHINE LEARNING</v>
      </c>
      <c r="N538" t="s">
        <v>74</v>
      </c>
      <c r="O538" t="s">
        <v>37</v>
      </c>
    </row>
    <row r="539" spans="1:15" x14ac:dyDescent="0.25">
      <c r="A539">
        <v>18387</v>
      </c>
      <c r="B539" t="s">
        <v>20</v>
      </c>
      <c r="C539" t="s">
        <v>38</v>
      </c>
      <c r="D539" t="s">
        <v>42</v>
      </c>
      <c r="E539" t="s">
        <v>49</v>
      </c>
      <c r="F539" t="s">
        <v>53</v>
      </c>
      <c r="G539" s="1">
        <v>45418</v>
      </c>
      <c r="H539" t="s">
        <v>60</v>
      </c>
      <c r="I539" s="2" t="s">
        <v>178</v>
      </c>
      <c r="J539" s="2" t="s">
        <v>179</v>
      </c>
      <c r="K539">
        <v>20000</v>
      </c>
      <c r="L539">
        <v>80000</v>
      </c>
      <c r="M539" t="str">
        <f>IFERROR(INDEX($M$2:$M$1132,MATCH(B539,$B$2:$B$1132,0)),"")</f>
        <v>CLOUD, NETWORK, MACHINE LEARNING</v>
      </c>
      <c r="N539" t="s">
        <v>75</v>
      </c>
      <c r="O539" t="s">
        <v>78</v>
      </c>
    </row>
    <row r="540" spans="1:15" x14ac:dyDescent="0.25">
      <c r="A540">
        <v>18388</v>
      </c>
      <c r="B540" t="s">
        <v>20</v>
      </c>
      <c r="C540" t="s">
        <v>39</v>
      </c>
      <c r="D540" t="s">
        <v>42</v>
      </c>
      <c r="E540" t="s">
        <v>49</v>
      </c>
      <c r="F540" t="s">
        <v>53</v>
      </c>
      <c r="G540" s="1">
        <v>45428</v>
      </c>
      <c r="H540" t="s">
        <v>60</v>
      </c>
      <c r="I540" s="2" t="s">
        <v>173</v>
      </c>
      <c r="J540" s="2" t="s">
        <v>173</v>
      </c>
      <c r="K540">
        <v>25000</v>
      </c>
      <c r="L540">
        <v>85000</v>
      </c>
      <c r="M540" t="str">
        <f>IFERROR(INDEX($M$2:$M$1132,MATCH(B540,$B$2:$B$1132,0)),"")</f>
        <v>CLOUD, NETWORK, MACHINE LEARNING</v>
      </c>
      <c r="N540" t="s">
        <v>75</v>
      </c>
      <c r="O540" t="s">
        <v>79</v>
      </c>
    </row>
    <row r="541" spans="1:15" x14ac:dyDescent="0.25">
      <c r="A541">
        <v>18389</v>
      </c>
      <c r="B541" t="s">
        <v>20</v>
      </c>
      <c r="C541" t="s">
        <v>23</v>
      </c>
      <c r="D541" t="str">
        <f>IFERROR(INDEX(Sheet2!$B$2:$B$1132,MATCH(Sheet1!C541,Sheet1!$C$2:$C$1132,0)),"IDK")</f>
        <v>IT</v>
      </c>
      <c r="E541" t="s">
        <v>49</v>
      </c>
      <c r="F541" t="s">
        <v>53</v>
      </c>
      <c r="G541" s="1">
        <v>45541</v>
      </c>
      <c r="H541" t="s">
        <v>60</v>
      </c>
      <c r="I541" s="3" t="s">
        <v>174</v>
      </c>
      <c r="J541" s="3" t="s">
        <v>174</v>
      </c>
      <c r="K541">
        <f>IFERROR(INDEX(Sheet2!$C$2:$C$1132,MATCH(Sheet1!C541,Sheet1!$C$2:$C$1132,0)),"")</f>
        <v>35000</v>
      </c>
      <c r="L541">
        <f>IFERROR(INDEX(Sheet2!$D$2:$D$1132,MATCH(Sheet1!C541,$C$2:$C$1132,0)),"")</f>
        <v>70000</v>
      </c>
      <c r="M541" t="str">
        <f>IFERROR(INDEX($M$2:$M$1132,MATCH(B541,$B$2:$B$1132,0)),"")</f>
        <v>CLOUD, NETWORK, MACHINE LEARNING</v>
      </c>
      <c r="N541" t="s">
        <v>75</v>
      </c>
      <c r="O541" t="s">
        <v>80</v>
      </c>
    </row>
    <row r="542" spans="1:15" x14ac:dyDescent="0.25">
      <c r="A542">
        <v>18390</v>
      </c>
      <c r="B542" t="s">
        <v>20</v>
      </c>
      <c r="C542" t="s">
        <v>30</v>
      </c>
      <c r="D542" t="str">
        <f>IFERROR(INDEX(Sheet2!$B$2:$B$1132,MATCH(Sheet1!C542,Sheet1!$C$2:$C$1132,0)),"IDK")</f>
        <v>IT</v>
      </c>
      <c r="E542" t="s">
        <v>49</v>
      </c>
      <c r="F542" t="s">
        <v>53</v>
      </c>
      <c r="G542" s="1">
        <v>45543</v>
      </c>
      <c r="H542" t="s">
        <v>60</v>
      </c>
      <c r="I542" s="2" t="s">
        <v>175</v>
      </c>
      <c r="J542" s="2" t="s">
        <v>175</v>
      </c>
      <c r="K542">
        <f>IFERROR(INDEX(Sheet2!$C$2:$C$1132,MATCH(Sheet1!C542,Sheet1!$C$2:$C$1132,0)),"")</f>
        <v>25000</v>
      </c>
      <c r="L542">
        <f>IFERROR(INDEX(Sheet2!$D$2:$D$1132,MATCH(Sheet1!C542,$C$2:$C$1132,0)),"")</f>
        <v>60000</v>
      </c>
      <c r="M542" t="str">
        <f>IFERROR(INDEX($M$2:$M$1132,MATCH(B542,$B$2:$B$1132,0)),"")</f>
        <v>CLOUD, NETWORK, MACHINE LEARNING</v>
      </c>
      <c r="N542" t="s">
        <v>75</v>
      </c>
      <c r="O542" t="s">
        <v>77</v>
      </c>
    </row>
    <row r="543" spans="1:15" x14ac:dyDescent="0.25">
      <c r="A543">
        <v>18391</v>
      </c>
      <c r="B543" t="s">
        <v>20</v>
      </c>
      <c r="C543" t="s">
        <v>31</v>
      </c>
      <c r="D543" t="str">
        <f>IFERROR(INDEX(Sheet2!$B$2:$B$1132,MATCH(Sheet1!C543,Sheet1!$C$2:$C$1132,0)),"IDK")</f>
        <v>IT</v>
      </c>
      <c r="E543" t="s">
        <v>49</v>
      </c>
      <c r="F543" t="s">
        <v>53</v>
      </c>
      <c r="G543" s="1">
        <v>45410</v>
      </c>
      <c r="H543" t="s">
        <v>60</v>
      </c>
      <c r="I543" s="2" t="s">
        <v>176</v>
      </c>
      <c r="J543" s="2" t="s">
        <v>177</v>
      </c>
      <c r="K543">
        <f>IFERROR(INDEX(Sheet2!$C$2:$C$1132,MATCH(Sheet1!C543,Sheet1!$C$2:$C$1132,0)),"")</f>
        <v>25000</v>
      </c>
      <c r="L543">
        <f>IFERROR(INDEX(Sheet2!$D$2:$D$1132,MATCH(Sheet1!C543,$C$2:$C$1132,0)),"")</f>
        <v>75000</v>
      </c>
      <c r="M543" t="str">
        <f>IFERROR(INDEX($M$2:$M$1132,MATCH(B543,$B$2:$B$1132,0)),"")</f>
        <v>CLOUD, NETWORK, MACHINE LEARNING</v>
      </c>
      <c r="N543" t="s">
        <v>75</v>
      </c>
      <c r="O543" t="s">
        <v>79</v>
      </c>
    </row>
    <row r="544" spans="1:15" x14ac:dyDescent="0.25">
      <c r="A544">
        <v>18392</v>
      </c>
      <c r="B544" t="s">
        <v>20</v>
      </c>
      <c r="C544" t="s">
        <v>32</v>
      </c>
      <c r="D544" t="str">
        <f>IFERROR(INDEX(Sheet2!$B$2:$B$1132,MATCH(Sheet1!C544,Sheet1!$C$2:$C$1132,0)),"IDK")</f>
        <v>SOCIAL</v>
      </c>
      <c r="E544" t="s">
        <v>49</v>
      </c>
      <c r="F544" t="s">
        <v>53</v>
      </c>
      <c r="G544" s="1">
        <v>45614</v>
      </c>
      <c r="H544" t="s">
        <v>60</v>
      </c>
      <c r="I544" s="2" t="s">
        <v>178</v>
      </c>
      <c r="J544" s="2" t="s">
        <v>179</v>
      </c>
      <c r="K544">
        <f>IFERROR(INDEX(Sheet2!$C$2:$C$1132,MATCH(Sheet1!C544,Sheet1!$C$2:$C$1132,0)),"")</f>
        <v>20000</v>
      </c>
      <c r="L544">
        <f>IFERROR(INDEX(Sheet2!$D$2:$D$1132,MATCH(Sheet1!C544,$C$2:$C$1132,0)),"")</f>
        <v>70000</v>
      </c>
      <c r="M544" t="str">
        <f>IFERROR(INDEX($M$2:$M$1132,MATCH(B544,$B$2:$B$1132,0)),"")</f>
        <v>CLOUD, NETWORK, MACHINE LEARNING</v>
      </c>
      <c r="N544" t="s">
        <v>76</v>
      </c>
      <c r="O544" t="s">
        <v>37</v>
      </c>
    </row>
    <row r="545" spans="1:15" x14ac:dyDescent="0.25">
      <c r="A545">
        <v>18393</v>
      </c>
      <c r="B545" t="s">
        <v>20</v>
      </c>
      <c r="C545" t="s">
        <v>33</v>
      </c>
      <c r="D545" t="str">
        <f>IFERROR(INDEX(Sheet2!$B$2:$B$1132,MATCH(Sheet1!C545,Sheet1!$C$2:$C$1132,0)),"IDK")</f>
        <v>FINANCE</v>
      </c>
      <c r="E545" t="s">
        <v>49</v>
      </c>
      <c r="F545" t="s">
        <v>53</v>
      </c>
      <c r="G545" s="1">
        <v>45401</v>
      </c>
      <c r="H545" t="s">
        <v>60</v>
      </c>
      <c r="I545" s="3" t="s">
        <v>174</v>
      </c>
      <c r="J545" s="3" t="s">
        <v>174</v>
      </c>
      <c r="K545">
        <f>IFERROR(INDEX(Sheet2!$C$2:$C$1132,MATCH(Sheet1!C545,Sheet1!$C$2:$C$1132,0)),"")</f>
        <v>40000</v>
      </c>
      <c r="L545">
        <f>IFERROR(INDEX(Sheet2!$D$2:$D$1132,MATCH(Sheet1!C545,$C$2:$C$1132,0)),"")</f>
        <v>85000</v>
      </c>
      <c r="M545" t="str">
        <f>IFERROR(INDEX($M$2:$M$1132,MATCH(B545,$B$2:$B$1132,0)),"")</f>
        <v>CLOUD, NETWORK, MACHINE LEARNING</v>
      </c>
      <c r="N545" t="s">
        <v>76</v>
      </c>
      <c r="O545" t="s">
        <v>78</v>
      </c>
    </row>
    <row r="546" spans="1:15" x14ac:dyDescent="0.25">
      <c r="A546">
        <v>18394</v>
      </c>
      <c r="B546" t="s">
        <v>20</v>
      </c>
      <c r="C546" t="s">
        <v>23</v>
      </c>
      <c r="D546" t="str">
        <f>IFERROR(INDEX(Sheet2!$B$2:$B$1132,MATCH(Sheet1!C546,Sheet1!$C$2:$C$1132,0)),"IDK")</f>
        <v>IT</v>
      </c>
      <c r="E546" t="s">
        <v>49</v>
      </c>
      <c r="F546" t="s">
        <v>53</v>
      </c>
      <c r="G546" s="1">
        <v>45512</v>
      </c>
      <c r="H546" t="s">
        <v>60</v>
      </c>
      <c r="I546" s="2" t="s">
        <v>175</v>
      </c>
      <c r="J546" s="2" t="s">
        <v>175</v>
      </c>
      <c r="K546">
        <f>IFERROR(INDEX(Sheet2!$C$2:$C$1132,MATCH(Sheet1!C546,Sheet1!$C$2:$C$1132,0)),"")</f>
        <v>35000</v>
      </c>
      <c r="L546">
        <f>IFERROR(INDEX(Sheet2!$D$2:$D$1132,MATCH(Sheet1!C546,$C$2:$C$1132,0)),"")</f>
        <v>70000</v>
      </c>
      <c r="M546" t="str">
        <f>IFERROR(INDEX($M$2:$M$1132,MATCH(B546,$B$2:$B$1132,0)),"")</f>
        <v>CLOUD, NETWORK, MACHINE LEARNING</v>
      </c>
      <c r="N546" t="s">
        <v>76</v>
      </c>
      <c r="O546" t="s">
        <v>80</v>
      </c>
    </row>
    <row r="547" spans="1:15" x14ac:dyDescent="0.25">
      <c r="A547">
        <v>18395</v>
      </c>
      <c r="B547" t="s">
        <v>20</v>
      </c>
      <c r="C547" t="s">
        <v>24</v>
      </c>
      <c r="D547" t="str">
        <f>IFERROR(INDEX(Sheet2!$B$2:$B$1132,MATCH(Sheet1!C547,Sheet1!$C$2:$C$1132,0)),"IDK")</f>
        <v>HEALTH</v>
      </c>
      <c r="E547" t="s">
        <v>49</v>
      </c>
      <c r="F547" t="s">
        <v>53</v>
      </c>
      <c r="G547" s="1">
        <v>45315</v>
      </c>
      <c r="H547" t="s">
        <v>60</v>
      </c>
      <c r="I547" s="2" t="s">
        <v>176</v>
      </c>
      <c r="J547" s="2" t="s">
        <v>177</v>
      </c>
      <c r="K547">
        <f>IFERROR(INDEX(Sheet2!$C$2:$C$1132,MATCH(Sheet1!C547,Sheet1!$C$2:$C$1132,0)),"")</f>
        <v>25000</v>
      </c>
      <c r="L547">
        <f>IFERROR(INDEX(Sheet2!$D$2:$D$1132,MATCH(Sheet1!C547,$C$2:$C$1132,0)),"")</f>
        <v>50000</v>
      </c>
      <c r="M547" t="str">
        <f>IFERROR(INDEX($M$2:$M$1132,MATCH(B547,$B$2:$B$1132,0)),"")</f>
        <v>CLOUD, NETWORK, MACHINE LEARNING</v>
      </c>
      <c r="N547" t="s">
        <v>76</v>
      </c>
      <c r="O547" t="s">
        <v>79</v>
      </c>
    </row>
    <row r="548" spans="1:15" x14ac:dyDescent="0.25">
      <c r="A548">
        <v>18396</v>
      </c>
      <c r="B548" t="s">
        <v>20</v>
      </c>
      <c r="C548" t="s">
        <v>25</v>
      </c>
      <c r="D548" t="str">
        <f>IFERROR(INDEX(Sheet2!$B$2:$B$1132,MATCH(Sheet1!C548,Sheet1!$C$2:$C$1132,0)),"IDK")</f>
        <v>SOCIAL</v>
      </c>
      <c r="E548" t="s">
        <v>49</v>
      </c>
      <c r="F548" t="s">
        <v>53</v>
      </c>
      <c r="G548" s="1">
        <v>45309</v>
      </c>
      <c r="H548" t="s">
        <v>60</v>
      </c>
      <c r="I548" s="2" t="s">
        <v>178</v>
      </c>
      <c r="J548" s="2" t="s">
        <v>179</v>
      </c>
      <c r="K548">
        <f>IFERROR(INDEX(Sheet2!$C$2:$C$1132,MATCH(Sheet1!C548,Sheet1!$C$2:$C$1132,0)),"")</f>
        <v>30000</v>
      </c>
      <c r="L548">
        <f>IFERROR(INDEX(Sheet2!$D$2:$D$1132,MATCH(Sheet1!C548,$C$2:$C$1132,0)),"")</f>
        <v>60000</v>
      </c>
      <c r="M548" t="str">
        <f>IFERROR(INDEX($M$2:$M$1132,MATCH(B548,$B$2:$B$1132,0)),"")</f>
        <v>CLOUD, NETWORK, MACHINE LEARNING</v>
      </c>
      <c r="N548" t="s">
        <v>76</v>
      </c>
      <c r="O548" t="s">
        <v>37</v>
      </c>
    </row>
    <row r="549" spans="1:15" x14ac:dyDescent="0.25">
      <c r="A549">
        <v>18397</v>
      </c>
      <c r="B549" t="s">
        <v>20</v>
      </c>
      <c r="C549" t="s">
        <v>26</v>
      </c>
      <c r="D549" t="str">
        <f>IFERROR(INDEX(Sheet2!$B$2:$B$1132,MATCH(Sheet1!C549,Sheet1!$C$2:$C$1132,0)),"IDK")</f>
        <v>FINANCE</v>
      </c>
      <c r="E549" t="s">
        <v>49</v>
      </c>
      <c r="F549" t="s">
        <v>53</v>
      </c>
      <c r="G549" s="1">
        <v>45452</v>
      </c>
      <c r="H549" t="s">
        <v>60</v>
      </c>
      <c r="I549" s="2" t="s">
        <v>173</v>
      </c>
      <c r="J549" s="2" t="s">
        <v>173</v>
      </c>
      <c r="K549">
        <f>IFERROR(INDEX(Sheet2!$C$2:$C$1132,MATCH(Sheet1!C549,Sheet1!$C$2:$C$1132,0)),"")</f>
        <v>35000</v>
      </c>
      <c r="L549">
        <f>IFERROR(INDEX(Sheet2!$D$2:$D$1132,MATCH(Sheet1!C549,$C$2:$C$1132,0)),"")</f>
        <v>75000</v>
      </c>
      <c r="M549" t="str">
        <f>IFERROR(INDEX($M$2:$M$1132,MATCH(B549,$B$2:$B$1132,0)),"")</f>
        <v>CLOUD, NETWORK, MACHINE LEARNING</v>
      </c>
      <c r="N549" t="s">
        <v>76</v>
      </c>
      <c r="O549" t="s">
        <v>78</v>
      </c>
    </row>
    <row r="550" spans="1:15" x14ac:dyDescent="0.25">
      <c r="A550">
        <v>18398</v>
      </c>
      <c r="B550" t="s">
        <v>20</v>
      </c>
      <c r="C550" t="s">
        <v>27</v>
      </c>
      <c r="D550" t="str">
        <f>IFERROR(INDEX(Sheet2!$B$2:$B$1132,MATCH(Sheet1!C550,Sheet1!$C$2:$C$1132,0)),"IDK")</f>
        <v>IT</v>
      </c>
      <c r="E550" t="s">
        <v>49</v>
      </c>
      <c r="F550" t="s">
        <v>53</v>
      </c>
      <c r="G550" s="1">
        <v>45580</v>
      </c>
      <c r="H550" t="s">
        <v>60</v>
      </c>
      <c r="I550" s="3" t="s">
        <v>174</v>
      </c>
      <c r="J550" s="3" t="s">
        <v>174</v>
      </c>
      <c r="K550">
        <f>IFERROR(INDEX(Sheet2!$C$2:$C$1132,MATCH(Sheet1!C550,Sheet1!$C$2:$C$1132,0)),"")</f>
        <v>40000</v>
      </c>
      <c r="L550">
        <f>IFERROR(INDEX(Sheet2!$D$2:$D$1132,MATCH(Sheet1!C550,$C$2:$C$1132,0)),"")</f>
        <v>80000</v>
      </c>
      <c r="M550" t="str">
        <f>IFERROR(INDEX($M$2:$M$1132,MATCH(B550,$B$2:$B$1132,0)),"")</f>
        <v>CLOUD, NETWORK, MACHINE LEARNING</v>
      </c>
      <c r="N550" t="s">
        <v>74</v>
      </c>
      <c r="O550" t="s">
        <v>79</v>
      </c>
    </row>
    <row r="551" spans="1:15" x14ac:dyDescent="0.25">
      <c r="A551">
        <v>18399</v>
      </c>
      <c r="B551" t="s">
        <v>20</v>
      </c>
      <c r="C551" t="s">
        <v>28</v>
      </c>
      <c r="D551" t="str">
        <f>IFERROR(INDEX(Sheet2!$B$2:$B$1132,MATCH(Sheet1!C551,Sheet1!$C$2:$C$1132,0)),"IDK")</f>
        <v>IT</v>
      </c>
      <c r="E551" t="s">
        <v>49</v>
      </c>
      <c r="F551" t="s">
        <v>53</v>
      </c>
      <c r="G551" s="1">
        <v>45649</v>
      </c>
      <c r="H551" t="s">
        <v>60</v>
      </c>
      <c r="I551" s="2" t="s">
        <v>175</v>
      </c>
      <c r="J551" s="2" t="s">
        <v>175</v>
      </c>
      <c r="K551">
        <f>IFERROR(INDEX(Sheet2!$C$2:$C$1132,MATCH(Sheet1!C551,Sheet1!$C$2:$C$1132,0)),"")</f>
        <v>30000</v>
      </c>
      <c r="L551">
        <f>IFERROR(INDEX(Sheet2!$D$2:$D$1132,MATCH(Sheet1!C551,$C$2:$C$1132,0)),"")</f>
        <v>55000</v>
      </c>
      <c r="M551" t="str">
        <f>IFERROR(INDEX($M$2:$M$1132,MATCH(B551,$B$2:$B$1132,0)),"")</f>
        <v>CLOUD, NETWORK, MACHINE LEARNING</v>
      </c>
      <c r="N551" t="s">
        <v>74</v>
      </c>
      <c r="O551" t="s">
        <v>80</v>
      </c>
    </row>
    <row r="552" spans="1:15" x14ac:dyDescent="0.25">
      <c r="A552">
        <v>18400</v>
      </c>
      <c r="B552" t="s">
        <v>20</v>
      </c>
      <c r="C552" t="s">
        <v>29</v>
      </c>
      <c r="D552" t="str">
        <f>IFERROR(INDEX(Sheet2!$B$2:$B$1132,MATCH(Sheet1!C552,Sheet1!$C$2:$C$1132,0)),"IDK")</f>
        <v>IT</v>
      </c>
      <c r="E552" t="s">
        <v>49</v>
      </c>
      <c r="F552" t="s">
        <v>53</v>
      </c>
      <c r="G552" s="1">
        <v>45560</v>
      </c>
      <c r="H552" t="s">
        <v>60</v>
      </c>
      <c r="I552" s="2" t="s">
        <v>176</v>
      </c>
      <c r="J552" s="2" t="s">
        <v>177</v>
      </c>
      <c r="K552">
        <f>IFERROR(INDEX(Sheet2!$C$2:$C$1132,MATCH(Sheet1!C552,Sheet1!$C$2:$C$1132,0)),"")</f>
        <v>35000</v>
      </c>
      <c r="L552">
        <f>IFERROR(INDEX(Sheet2!$D$2:$D$1132,MATCH(Sheet1!C552,$C$2:$C$1132,0)),"")</f>
        <v>70000</v>
      </c>
      <c r="M552" t="str">
        <f>IFERROR(INDEX($M$2:$M$1132,MATCH(B552,$B$2:$B$1132,0)),"")</f>
        <v>CLOUD, NETWORK, MACHINE LEARNING</v>
      </c>
      <c r="N552" t="s">
        <v>74</v>
      </c>
      <c r="O552" t="s">
        <v>77</v>
      </c>
    </row>
    <row r="553" spans="1:15" x14ac:dyDescent="0.25">
      <c r="A553">
        <v>18401</v>
      </c>
      <c r="B553" t="s">
        <v>20</v>
      </c>
      <c r="C553" t="s">
        <v>23</v>
      </c>
      <c r="D553" t="str">
        <f>IFERROR(INDEX(Sheet2!$B$2:$B$1132,MATCH(Sheet1!C553,Sheet1!$C$2:$C$1132,0)),"IDK")</f>
        <v>IT</v>
      </c>
      <c r="E553" t="s">
        <v>49</v>
      </c>
      <c r="F553" t="s">
        <v>53</v>
      </c>
      <c r="G553" s="1">
        <v>45548</v>
      </c>
      <c r="H553" t="s">
        <v>60</v>
      </c>
      <c r="I553" s="2" t="s">
        <v>178</v>
      </c>
      <c r="J553" s="2" t="s">
        <v>179</v>
      </c>
      <c r="K553">
        <f>IFERROR(INDEX(Sheet2!$C$2:$C$1132,MATCH(Sheet1!C553,Sheet1!$C$2:$C$1132,0)),"")</f>
        <v>35000</v>
      </c>
      <c r="L553">
        <f>IFERROR(INDEX(Sheet2!$D$2:$D$1132,MATCH(Sheet1!C553,$C$2:$C$1132,0)),"")</f>
        <v>70000</v>
      </c>
      <c r="M553" t="str">
        <f>IFERROR(INDEX($M$2:$M$1132,MATCH(B553,$B$2:$B$1132,0)),"")</f>
        <v>CLOUD, NETWORK, MACHINE LEARNING</v>
      </c>
      <c r="N553" t="s">
        <v>74</v>
      </c>
      <c r="O553" t="s">
        <v>79</v>
      </c>
    </row>
    <row r="554" spans="1:15" x14ac:dyDescent="0.25">
      <c r="A554">
        <v>18402</v>
      </c>
      <c r="B554" t="s">
        <v>20</v>
      </c>
      <c r="C554" t="s">
        <v>30</v>
      </c>
      <c r="D554" t="str">
        <f>IFERROR(INDEX(Sheet2!$B$2:$B$1132,MATCH(Sheet1!C554,Sheet1!$C$2:$C$1132,0)),"IDK")</f>
        <v>IT</v>
      </c>
      <c r="E554" t="s">
        <v>49</v>
      </c>
      <c r="F554" t="s">
        <v>53</v>
      </c>
      <c r="G554" s="1">
        <v>45483</v>
      </c>
      <c r="H554" t="s">
        <v>60</v>
      </c>
      <c r="I554" s="3" t="s">
        <v>174</v>
      </c>
      <c r="J554" s="3" t="s">
        <v>174</v>
      </c>
      <c r="K554">
        <f>IFERROR(INDEX(Sheet2!$C$2:$C$1132,MATCH(Sheet1!C554,Sheet1!$C$2:$C$1132,0)),"")</f>
        <v>25000</v>
      </c>
      <c r="L554">
        <f>IFERROR(INDEX(Sheet2!$D$2:$D$1132,MATCH(Sheet1!C554,$C$2:$C$1132,0)),"")</f>
        <v>60000</v>
      </c>
      <c r="M554" t="str">
        <f>IFERROR(INDEX($M$2:$M$1132,MATCH(B554,$B$2:$B$1132,0)),"")</f>
        <v>CLOUD, NETWORK, MACHINE LEARNING</v>
      </c>
      <c r="N554" t="s">
        <v>74</v>
      </c>
      <c r="O554" t="s">
        <v>37</v>
      </c>
    </row>
    <row r="555" spans="1:15" x14ac:dyDescent="0.25">
      <c r="A555">
        <v>18403</v>
      </c>
      <c r="B555" t="s">
        <v>20</v>
      </c>
      <c r="C555" t="s">
        <v>31</v>
      </c>
      <c r="D555" t="str">
        <f>IFERROR(INDEX(Sheet2!$B$2:$B$1132,MATCH(Sheet1!C555,Sheet1!$C$2:$C$1132,0)),"IDK")</f>
        <v>IT</v>
      </c>
      <c r="E555" t="s">
        <v>49</v>
      </c>
      <c r="F555" t="s">
        <v>53</v>
      </c>
      <c r="G555" s="1">
        <v>45571</v>
      </c>
      <c r="H555" t="s">
        <v>60</v>
      </c>
      <c r="I555" s="2" t="s">
        <v>175</v>
      </c>
      <c r="J555" s="2" t="s">
        <v>175</v>
      </c>
      <c r="K555">
        <f>IFERROR(INDEX(Sheet2!$C$2:$C$1132,MATCH(Sheet1!C555,Sheet1!$C$2:$C$1132,0)),"")</f>
        <v>25000</v>
      </c>
      <c r="L555">
        <f>IFERROR(INDEX(Sheet2!$D$2:$D$1132,MATCH(Sheet1!C555,$C$2:$C$1132,0)),"")</f>
        <v>75000</v>
      </c>
      <c r="M555" t="str">
        <f>IFERROR(INDEX($M$2:$M$1132,MATCH(B555,$B$2:$B$1132,0)),"")</f>
        <v>CLOUD, NETWORK, MACHINE LEARNING</v>
      </c>
      <c r="N555" t="s">
        <v>74</v>
      </c>
      <c r="O555" t="s">
        <v>78</v>
      </c>
    </row>
    <row r="556" spans="1:15" x14ac:dyDescent="0.25">
      <c r="A556">
        <v>18404</v>
      </c>
      <c r="B556" t="s">
        <v>20</v>
      </c>
      <c r="C556" t="s">
        <v>32</v>
      </c>
      <c r="D556" t="str">
        <f>IFERROR(INDEX(Sheet2!$B$2:$B$1132,MATCH(Sheet1!C556,Sheet1!$C$2:$C$1132,0)),"IDK")</f>
        <v>SOCIAL</v>
      </c>
      <c r="E556" t="s">
        <v>49</v>
      </c>
      <c r="F556" t="s">
        <v>53</v>
      </c>
      <c r="G556" s="1">
        <v>45640</v>
      </c>
      <c r="H556" t="s">
        <v>60</v>
      </c>
      <c r="I556" s="2" t="s">
        <v>176</v>
      </c>
      <c r="J556" s="2" t="s">
        <v>177</v>
      </c>
      <c r="K556">
        <f>IFERROR(INDEX(Sheet2!$C$2:$C$1132,MATCH(Sheet1!C556,Sheet1!$C$2:$C$1132,0)),"")</f>
        <v>20000</v>
      </c>
      <c r="L556">
        <f>IFERROR(INDEX(Sheet2!$D$2:$D$1132,MATCH(Sheet1!C556,$C$2:$C$1132,0)),"")</f>
        <v>70000</v>
      </c>
      <c r="M556" t="str">
        <f>IFERROR(INDEX($M$2:$M$1132,MATCH(B556,$B$2:$B$1132,0)),"")</f>
        <v>CLOUD, NETWORK, MACHINE LEARNING</v>
      </c>
      <c r="N556" t="s">
        <v>75</v>
      </c>
      <c r="O556" t="s">
        <v>78</v>
      </c>
    </row>
    <row r="557" spans="1:15" x14ac:dyDescent="0.25">
      <c r="A557">
        <v>18405</v>
      </c>
      <c r="B557" t="s">
        <v>20</v>
      </c>
      <c r="C557" t="s">
        <v>33</v>
      </c>
      <c r="D557" t="str">
        <f>IFERROR(INDEX(Sheet2!$B$2:$B$1132,MATCH(Sheet1!C557,Sheet1!$C$2:$C$1132,0)),"IDK")</f>
        <v>FINANCE</v>
      </c>
      <c r="E557" t="s">
        <v>49</v>
      </c>
      <c r="F557" t="s">
        <v>53</v>
      </c>
      <c r="G557" s="1">
        <v>45386</v>
      </c>
      <c r="H557" t="s">
        <v>60</v>
      </c>
      <c r="I557" s="2" t="s">
        <v>178</v>
      </c>
      <c r="J557" s="2" t="s">
        <v>179</v>
      </c>
      <c r="K557">
        <f>IFERROR(INDEX(Sheet2!$C$2:$C$1132,MATCH(Sheet1!C557,Sheet1!$C$2:$C$1132,0)),"")</f>
        <v>40000</v>
      </c>
      <c r="L557">
        <f>IFERROR(INDEX(Sheet2!$D$2:$D$1132,MATCH(Sheet1!C557,$C$2:$C$1132,0)),"")</f>
        <v>85000</v>
      </c>
      <c r="M557" t="str">
        <f>IFERROR(INDEX($M$2:$M$1132,MATCH(B557,$B$2:$B$1132,0)),"")</f>
        <v>CLOUD, NETWORK, MACHINE LEARNING</v>
      </c>
      <c r="N557" t="s">
        <v>75</v>
      </c>
      <c r="O557" t="s">
        <v>79</v>
      </c>
    </row>
    <row r="558" spans="1:15" x14ac:dyDescent="0.25">
      <c r="A558">
        <v>18406</v>
      </c>
      <c r="B558" t="s">
        <v>20</v>
      </c>
      <c r="C558" t="s">
        <v>24</v>
      </c>
      <c r="D558" t="str">
        <f>IFERROR(INDEX(Sheet2!$B$2:$B$1132,MATCH(Sheet1!C558,Sheet1!$C$2:$C$1132,0)),"IDK")</f>
        <v>HEALTH</v>
      </c>
      <c r="E558" t="s">
        <v>49</v>
      </c>
      <c r="F558" t="s">
        <v>53</v>
      </c>
      <c r="G558" s="1">
        <v>45504</v>
      </c>
      <c r="H558" t="s">
        <v>60</v>
      </c>
      <c r="I558" s="2" t="s">
        <v>173</v>
      </c>
      <c r="J558" s="2" t="s">
        <v>173</v>
      </c>
      <c r="K558">
        <f>IFERROR(INDEX(Sheet2!$C$2:$C$1132,MATCH(Sheet1!C558,Sheet1!$C$2:$C$1132,0)),"")</f>
        <v>25000</v>
      </c>
      <c r="L558">
        <f>IFERROR(INDEX(Sheet2!$D$2:$D$1132,MATCH(Sheet1!C558,$C$2:$C$1132,0)),"")</f>
        <v>50000</v>
      </c>
      <c r="M558" t="str">
        <f>IFERROR(INDEX($M$2:$M$1132,MATCH(B558,$B$2:$B$1132,0)),"")</f>
        <v>CLOUD, NETWORK, MACHINE LEARNING</v>
      </c>
      <c r="N558" t="s">
        <v>75</v>
      </c>
      <c r="O558" t="s">
        <v>80</v>
      </c>
    </row>
    <row r="559" spans="1:15" x14ac:dyDescent="0.25">
      <c r="A559">
        <v>18407</v>
      </c>
      <c r="B559" t="s">
        <v>20</v>
      </c>
      <c r="C559" t="s">
        <v>25</v>
      </c>
      <c r="D559" t="str">
        <f>IFERROR(INDEX(Sheet2!$B$2:$B$1132,MATCH(Sheet1!C559,Sheet1!$C$2:$C$1132,0)),"IDK")</f>
        <v>SOCIAL</v>
      </c>
      <c r="E559" t="s">
        <v>49</v>
      </c>
      <c r="F559" t="s">
        <v>53</v>
      </c>
      <c r="G559" s="1">
        <v>45325</v>
      </c>
      <c r="H559" t="s">
        <v>60</v>
      </c>
      <c r="I559" s="3" t="s">
        <v>174</v>
      </c>
      <c r="J559" s="3" t="s">
        <v>174</v>
      </c>
      <c r="K559">
        <f>IFERROR(INDEX(Sheet2!$C$2:$C$1132,MATCH(Sheet1!C559,Sheet1!$C$2:$C$1132,0)),"")</f>
        <v>30000</v>
      </c>
      <c r="L559">
        <f>IFERROR(INDEX(Sheet2!$D$2:$D$1132,MATCH(Sheet1!C559,$C$2:$C$1132,0)),"")</f>
        <v>60000</v>
      </c>
      <c r="M559" t="str">
        <f>IFERROR(INDEX($M$2:$M$1132,MATCH(B559,$B$2:$B$1132,0)),"")</f>
        <v>CLOUD, NETWORK, MACHINE LEARNING</v>
      </c>
      <c r="N559" t="s">
        <v>75</v>
      </c>
      <c r="O559" t="s">
        <v>77</v>
      </c>
    </row>
    <row r="560" spans="1:15" x14ac:dyDescent="0.25">
      <c r="A560">
        <v>18408</v>
      </c>
      <c r="B560" t="s">
        <v>20</v>
      </c>
      <c r="C560" t="s">
        <v>26</v>
      </c>
      <c r="D560" t="str">
        <f>IFERROR(INDEX(Sheet2!$B$2:$B$1132,MATCH(Sheet1!C560,Sheet1!$C$2:$C$1132,0)),"IDK")</f>
        <v>FINANCE</v>
      </c>
      <c r="E560" t="s">
        <v>49</v>
      </c>
      <c r="F560" t="s">
        <v>53</v>
      </c>
      <c r="G560" s="1">
        <v>45592</v>
      </c>
      <c r="H560" t="s">
        <v>60</v>
      </c>
      <c r="I560" s="2" t="s">
        <v>175</v>
      </c>
      <c r="J560" s="2" t="s">
        <v>175</v>
      </c>
      <c r="K560">
        <f>IFERROR(INDEX(Sheet2!$C$2:$C$1132,MATCH(Sheet1!C560,Sheet1!$C$2:$C$1132,0)),"")</f>
        <v>35000</v>
      </c>
      <c r="L560">
        <f>IFERROR(INDEX(Sheet2!$D$2:$D$1132,MATCH(Sheet1!C560,$C$2:$C$1132,0)),"")</f>
        <v>75000</v>
      </c>
      <c r="M560" t="str">
        <f>IFERROR(INDEX($M$2:$M$1132,MATCH(B560,$B$2:$B$1132,0)),"")</f>
        <v>CLOUD, NETWORK, MACHINE LEARNING</v>
      </c>
      <c r="N560" t="s">
        <v>75</v>
      </c>
      <c r="O560" t="s">
        <v>79</v>
      </c>
    </row>
    <row r="561" spans="1:15" x14ac:dyDescent="0.25">
      <c r="A561">
        <v>18409</v>
      </c>
      <c r="B561" t="s">
        <v>20</v>
      </c>
      <c r="C561" t="s">
        <v>27</v>
      </c>
      <c r="D561" t="str">
        <f>IFERROR(INDEX(Sheet2!$B$2:$B$1132,MATCH(Sheet1!C561,Sheet1!$C$2:$C$1132,0)),"IDK")</f>
        <v>IT</v>
      </c>
      <c r="E561" t="s">
        <v>49</v>
      </c>
      <c r="F561" t="s">
        <v>53</v>
      </c>
      <c r="G561" s="1">
        <v>45562</v>
      </c>
      <c r="H561" t="s">
        <v>60</v>
      </c>
      <c r="I561" s="2" t="s">
        <v>176</v>
      </c>
      <c r="J561" s="2" t="s">
        <v>177</v>
      </c>
      <c r="K561">
        <f>IFERROR(INDEX(Sheet2!$C$2:$C$1132,MATCH(Sheet1!C561,Sheet1!$C$2:$C$1132,0)),"")</f>
        <v>40000</v>
      </c>
      <c r="L561">
        <f>IFERROR(INDEX(Sheet2!$D$2:$D$1132,MATCH(Sheet1!C561,$C$2:$C$1132,0)),"")</f>
        <v>80000</v>
      </c>
      <c r="M561" t="str">
        <f>IFERROR(INDEX($M$2:$M$1132,MATCH(B561,$B$2:$B$1132,0)),"")</f>
        <v>CLOUD, NETWORK, MACHINE LEARNING</v>
      </c>
      <c r="N561" t="s">
        <v>76</v>
      </c>
      <c r="O561" t="s">
        <v>37</v>
      </c>
    </row>
    <row r="562" spans="1:15" x14ac:dyDescent="0.25">
      <c r="A562">
        <v>18410</v>
      </c>
      <c r="B562" t="s">
        <v>20</v>
      </c>
      <c r="C562" t="s">
        <v>28</v>
      </c>
      <c r="D562" t="str">
        <f>IFERROR(INDEX(Sheet2!$B$2:$B$1132,MATCH(Sheet1!C562,Sheet1!$C$2:$C$1132,0)),"IDK")</f>
        <v>IT</v>
      </c>
      <c r="E562" t="s">
        <v>49</v>
      </c>
      <c r="F562" t="s">
        <v>53</v>
      </c>
      <c r="G562" s="1">
        <v>45425</v>
      </c>
      <c r="H562" t="s">
        <v>60</v>
      </c>
      <c r="I562" s="2" t="s">
        <v>178</v>
      </c>
      <c r="J562" s="2" t="s">
        <v>179</v>
      </c>
      <c r="K562">
        <f>IFERROR(INDEX(Sheet2!$C$2:$C$1132,MATCH(Sheet1!C562,Sheet1!$C$2:$C$1132,0)),"")</f>
        <v>30000</v>
      </c>
      <c r="L562">
        <f>IFERROR(INDEX(Sheet2!$D$2:$D$1132,MATCH(Sheet1!C562,$C$2:$C$1132,0)),"")</f>
        <v>55000</v>
      </c>
      <c r="M562" t="str">
        <f>IFERROR(INDEX($M$2:$M$1132,MATCH(B562,$B$2:$B$1132,0)),"")</f>
        <v>CLOUD, NETWORK, MACHINE LEARNING</v>
      </c>
      <c r="N562" t="s">
        <v>76</v>
      </c>
      <c r="O562" t="s">
        <v>78</v>
      </c>
    </row>
    <row r="563" spans="1:15" x14ac:dyDescent="0.25">
      <c r="A563">
        <v>18411</v>
      </c>
      <c r="B563" t="s">
        <v>20</v>
      </c>
      <c r="C563" t="s">
        <v>29</v>
      </c>
      <c r="D563" t="str">
        <f>IFERROR(INDEX(Sheet2!$B$2:$B$1132,MATCH(Sheet1!C563,Sheet1!$C$2:$C$1132,0)),"IDK")</f>
        <v>IT</v>
      </c>
      <c r="E563" t="s">
        <v>49</v>
      </c>
      <c r="F563" t="s">
        <v>53</v>
      </c>
      <c r="G563" s="1">
        <v>45473</v>
      </c>
      <c r="H563" t="s">
        <v>55</v>
      </c>
      <c r="I563" s="2" t="s">
        <v>82</v>
      </c>
      <c r="J563" s="2" t="s">
        <v>83</v>
      </c>
      <c r="K563">
        <f>IFERROR(INDEX(Sheet2!$C$2:$C$1132,MATCH(Sheet1!C563,Sheet1!$C$2:$C$1132,0)),"")</f>
        <v>35000</v>
      </c>
      <c r="L563">
        <f>IFERROR(INDEX(Sheet2!$D$2:$D$1132,MATCH(Sheet1!C563,$C$2:$C$1132,0)),"")</f>
        <v>70000</v>
      </c>
      <c r="M563" t="str">
        <f>IFERROR(INDEX($M$2:$M$1132,MATCH(B563,$B$2:$B$1132,0)),"")</f>
        <v>CLOUD, NETWORK, MACHINE LEARNING</v>
      </c>
      <c r="N563" t="s">
        <v>76</v>
      </c>
      <c r="O563" t="s">
        <v>80</v>
      </c>
    </row>
    <row r="564" spans="1:15" x14ac:dyDescent="0.25">
      <c r="A564">
        <v>18412</v>
      </c>
      <c r="B564" t="s">
        <v>20</v>
      </c>
      <c r="C564" t="s">
        <v>23</v>
      </c>
      <c r="D564" t="str">
        <f>IFERROR(INDEX(Sheet2!$B$2:$B$1132,MATCH(Sheet1!C564,Sheet1!$C$2:$C$1132,0)),"IDK")</f>
        <v>IT</v>
      </c>
      <c r="E564" t="s">
        <v>49</v>
      </c>
      <c r="F564" t="s">
        <v>53</v>
      </c>
      <c r="G564" s="1">
        <v>45623</v>
      </c>
      <c r="H564" t="s">
        <v>55</v>
      </c>
      <c r="I564" s="2" t="s">
        <v>82</v>
      </c>
      <c r="J564" s="2" t="s">
        <v>84</v>
      </c>
      <c r="K564">
        <f>IFERROR(INDEX(Sheet2!$C$2:$C$1132,MATCH(Sheet1!C564,Sheet1!$C$2:$C$1132,0)),"")</f>
        <v>35000</v>
      </c>
      <c r="L564">
        <f>IFERROR(INDEX(Sheet2!$D$2:$D$1132,MATCH(Sheet1!C564,$C$2:$C$1132,0)),"")</f>
        <v>70000</v>
      </c>
      <c r="M564" t="str">
        <f>IFERROR(INDEX($M$2:$M$1132,MATCH(B564,$B$2:$B$1132,0)),"")</f>
        <v>CLOUD, NETWORK, MACHINE LEARNING</v>
      </c>
      <c r="N564" t="s">
        <v>76</v>
      </c>
      <c r="O564" t="s">
        <v>79</v>
      </c>
    </row>
    <row r="565" spans="1:15" x14ac:dyDescent="0.25">
      <c r="A565">
        <v>18413</v>
      </c>
      <c r="B565" t="s">
        <v>20</v>
      </c>
      <c r="C565" t="s">
        <v>30</v>
      </c>
      <c r="D565" t="str">
        <f>IFERROR(INDEX(Sheet2!$B$2:$B$1132,MATCH(Sheet1!C565,Sheet1!$C$2:$C$1132,0)),"IDK")</f>
        <v>IT</v>
      </c>
      <c r="E565" t="s">
        <v>49</v>
      </c>
      <c r="F565" t="s">
        <v>53</v>
      </c>
      <c r="G565" s="1">
        <v>45483</v>
      </c>
      <c r="H565" t="s">
        <v>55</v>
      </c>
      <c r="I565" s="2" t="s">
        <v>82</v>
      </c>
      <c r="J565" s="2" t="s">
        <v>85</v>
      </c>
      <c r="K565">
        <f>IFERROR(INDEX(Sheet2!$C$2:$C$1132,MATCH(Sheet1!C565,Sheet1!$C$2:$C$1132,0)),"")</f>
        <v>25000</v>
      </c>
      <c r="L565">
        <f>IFERROR(INDEX(Sheet2!$D$2:$D$1132,MATCH(Sheet1!C565,$C$2:$C$1132,0)),"")</f>
        <v>60000</v>
      </c>
      <c r="M565" t="str">
        <f>IFERROR(INDEX($M$2:$M$1132,MATCH(B565,$B$2:$B$1132,0)),"")</f>
        <v>CLOUD, NETWORK, MACHINE LEARNING</v>
      </c>
      <c r="N565" t="s">
        <v>76</v>
      </c>
      <c r="O565" t="s">
        <v>37</v>
      </c>
    </row>
    <row r="566" spans="1:15" x14ac:dyDescent="0.25">
      <c r="A566">
        <v>18414</v>
      </c>
      <c r="B566" t="s">
        <v>20</v>
      </c>
      <c r="C566" t="s">
        <v>31</v>
      </c>
      <c r="D566" t="str">
        <f>IFERROR(INDEX(Sheet2!$B$2:$B$1132,MATCH(Sheet1!C566,Sheet1!$C$2:$C$1132,0)),"IDK")</f>
        <v>IT</v>
      </c>
      <c r="E566" t="s">
        <v>49</v>
      </c>
      <c r="F566" t="s">
        <v>53</v>
      </c>
      <c r="G566" s="1">
        <v>45548</v>
      </c>
      <c r="H566" t="s">
        <v>55</v>
      </c>
      <c r="I566" s="2" t="s">
        <v>86</v>
      </c>
      <c r="J566" s="2" t="s">
        <v>87</v>
      </c>
      <c r="K566">
        <f>IFERROR(INDEX(Sheet2!$C$2:$C$1132,MATCH(Sheet1!C566,Sheet1!$C$2:$C$1132,0)),"")</f>
        <v>25000</v>
      </c>
      <c r="L566">
        <f>IFERROR(INDEX(Sheet2!$D$2:$D$1132,MATCH(Sheet1!C566,$C$2:$C$1132,0)),"")</f>
        <v>75000</v>
      </c>
      <c r="M566" t="str">
        <f>IFERROR(INDEX($M$2:$M$1132,MATCH(B566,$B$2:$B$1132,0)),"")</f>
        <v>CLOUD, NETWORK, MACHINE LEARNING</v>
      </c>
      <c r="N566" t="s">
        <v>76</v>
      </c>
      <c r="O566" t="s">
        <v>78</v>
      </c>
    </row>
    <row r="567" spans="1:15" x14ac:dyDescent="0.25">
      <c r="A567">
        <v>18415</v>
      </c>
      <c r="B567" t="s">
        <v>20</v>
      </c>
      <c r="C567" t="s">
        <v>32</v>
      </c>
      <c r="D567" t="str">
        <f>IFERROR(INDEX(Sheet2!$B$2:$B$1132,MATCH(Sheet1!C567,Sheet1!$C$2:$C$1132,0)),"IDK")</f>
        <v>SOCIAL</v>
      </c>
      <c r="E567" t="s">
        <v>49</v>
      </c>
      <c r="F567" t="s">
        <v>53</v>
      </c>
      <c r="G567" s="1">
        <v>45515</v>
      </c>
      <c r="H567" t="s">
        <v>55</v>
      </c>
      <c r="I567" s="2" t="s">
        <v>88</v>
      </c>
      <c r="J567" s="2" t="s">
        <v>89</v>
      </c>
      <c r="K567">
        <f>IFERROR(INDEX(Sheet2!$C$2:$C$1132,MATCH(Sheet1!C567,Sheet1!$C$2:$C$1132,0)),"")</f>
        <v>20000</v>
      </c>
      <c r="L567">
        <f>IFERROR(INDEX(Sheet2!$D$2:$D$1132,MATCH(Sheet1!C567,$C$2:$C$1132,0)),"")</f>
        <v>70000</v>
      </c>
      <c r="M567" t="str">
        <f>IFERROR(INDEX($M$2:$M$1132,MATCH(B567,$B$2:$B$1132,0)),"")</f>
        <v>CLOUD, NETWORK, MACHINE LEARNING</v>
      </c>
      <c r="N567" t="s">
        <v>76</v>
      </c>
      <c r="O567" t="s">
        <v>79</v>
      </c>
    </row>
    <row r="568" spans="1:15" x14ac:dyDescent="0.25">
      <c r="A568">
        <v>18416</v>
      </c>
      <c r="B568" t="s">
        <v>20</v>
      </c>
      <c r="C568" t="s">
        <v>33</v>
      </c>
      <c r="D568" t="str">
        <f>IFERROR(INDEX(Sheet2!$B$2:$B$1132,MATCH(Sheet1!C568,Sheet1!$C$2:$C$1132,0)),"IDK")</f>
        <v>FINANCE</v>
      </c>
      <c r="E568" t="s">
        <v>49</v>
      </c>
      <c r="F568" t="s">
        <v>53</v>
      </c>
      <c r="G568" s="1">
        <v>45367</v>
      </c>
      <c r="H568" t="s">
        <v>55</v>
      </c>
      <c r="I568" s="2" t="s">
        <v>88</v>
      </c>
      <c r="J568" s="2" t="s">
        <v>90</v>
      </c>
      <c r="K568">
        <f>IFERROR(INDEX(Sheet2!$C$2:$C$1132,MATCH(Sheet1!C568,Sheet1!$C$2:$C$1132,0)),"")</f>
        <v>40000</v>
      </c>
      <c r="L568">
        <f>IFERROR(INDEX(Sheet2!$D$2:$D$1132,MATCH(Sheet1!C568,$C$2:$C$1132,0)),"")</f>
        <v>85000</v>
      </c>
      <c r="M568" t="str">
        <f>IFERROR(INDEX($M$2:$M$1132,MATCH(B568,$B$2:$B$1132,0)),"")</f>
        <v>CLOUD, NETWORK, MACHINE LEARNING</v>
      </c>
      <c r="N568" t="s">
        <v>76</v>
      </c>
      <c r="O568" t="s">
        <v>80</v>
      </c>
    </row>
    <row r="569" spans="1:15" x14ac:dyDescent="0.25">
      <c r="A569">
        <v>18417</v>
      </c>
      <c r="B569" t="s">
        <v>20</v>
      </c>
      <c r="C569" t="s">
        <v>34</v>
      </c>
      <c r="D569" t="str">
        <f>IFERROR(INDEX(Sheet2!$B$2:$B$1132,MATCH(Sheet1!C569,Sheet1!$C$2:$C$1132,0)),"IDK")</f>
        <v>IT</v>
      </c>
      <c r="E569" t="s">
        <v>49</v>
      </c>
      <c r="F569" t="s">
        <v>53</v>
      </c>
      <c r="G569" s="1">
        <v>45332</v>
      </c>
      <c r="H569" t="s">
        <v>55</v>
      </c>
      <c r="I569" s="2" t="s">
        <v>88</v>
      </c>
      <c r="J569" s="2" t="s">
        <v>91</v>
      </c>
      <c r="K569">
        <f>IFERROR(INDEX(Sheet2!$C$2:$C$1132,MATCH(Sheet1!C569,Sheet1!$C$2:$C$1132,0)),"")</f>
        <v>35000</v>
      </c>
      <c r="L569">
        <f>IFERROR(INDEX(Sheet2!$D$2:$D$1132,MATCH(Sheet1!C569,$C$2:$C$1132,0)),"")</f>
        <v>90000</v>
      </c>
      <c r="M569" t="str">
        <f>IFERROR(INDEX($M$2:$M$1132,MATCH(B569,$B$2:$B$1132,0)),"")</f>
        <v>CLOUD, NETWORK, MACHINE LEARNING</v>
      </c>
      <c r="N569" t="s">
        <v>76</v>
      </c>
      <c r="O569" t="s">
        <v>77</v>
      </c>
    </row>
    <row r="570" spans="1:15" x14ac:dyDescent="0.25">
      <c r="A570">
        <v>18418</v>
      </c>
      <c r="B570" t="s">
        <v>20</v>
      </c>
      <c r="C570" t="s">
        <v>35</v>
      </c>
      <c r="D570" t="str">
        <f>IFERROR(INDEX(Sheet2!$B$2:$B$1132,MATCH(Sheet1!C570,Sheet1!$C$2:$C$1132,0)),"IDK")</f>
        <v>SOCIAL</v>
      </c>
      <c r="E570" t="s">
        <v>49</v>
      </c>
      <c r="F570" t="s">
        <v>53</v>
      </c>
      <c r="G570" s="1">
        <v>45346</v>
      </c>
      <c r="H570" t="s">
        <v>55</v>
      </c>
      <c r="I570" s="2" t="s">
        <v>92</v>
      </c>
      <c r="J570" s="2" t="s">
        <v>93</v>
      </c>
      <c r="K570">
        <f>IFERROR(INDEX(Sheet2!$C$2:$C$1132,MATCH(Sheet1!C570,Sheet1!$C$2:$C$1132,0)),"")</f>
        <v>30000</v>
      </c>
      <c r="L570">
        <f>IFERROR(INDEX(Sheet2!$D$2:$D$1132,MATCH(Sheet1!C570,$C$2:$C$1132,0)),"")</f>
        <v>95000</v>
      </c>
      <c r="M570" t="str">
        <f>IFERROR(INDEX($M$2:$M$1132,MATCH(B570,$B$2:$B$1132,0)),"")</f>
        <v>CLOUD, NETWORK, MACHINE LEARNING</v>
      </c>
      <c r="N570" t="s">
        <v>76</v>
      </c>
      <c r="O570" t="s">
        <v>79</v>
      </c>
    </row>
    <row r="571" spans="1:15" x14ac:dyDescent="0.25">
      <c r="A571">
        <v>18419</v>
      </c>
      <c r="B571" t="s">
        <v>20</v>
      </c>
      <c r="C571" t="s">
        <v>36</v>
      </c>
      <c r="D571" t="str">
        <f>IFERROR(INDEX(Sheet2!$B$2:$B$1132,MATCH(Sheet1!C571,Sheet1!$C$2:$C$1132,0)),"IDK")</f>
        <v>IT</v>
      </c>
      <c r="E571" t="s">
        <v>49</v>
      </c>
      <c r="F571" t="s">
        <v>53</v>
      </c>
      <c r="G571" s="1">
        <v>45587</v>
      </c>
      <c r="H571" t="s">
        <v>55</v>
      </c>
      <c r="I571" s="2" t="s">
        <v>94</v>
      </c>
      <c r="J571" s="2" t="s">
        <v>95</v>
      </c>
      <c r="K571">
        <f>IFERROR(INDEX(Sheet2!$C$2:$C$1132,MATCH(Sheet1!C571,Sheet1!$C$2:$C$1132,0)),"")</f>
        <v>50000</v>
      </c>
      <c r="L571">
        <f>IFERROR(INDEX(Sheet2!$D$2:$D$1132,MATCH(Sheet1!C571,$C$2:$C$1132,0)),"")</f>
        <v>100000</v>
      </c>
      <c r="M571" t="str">
        <f>IFERROR(INDEX($M$2:$M$1132,MATCH(B571,$B$2:$B$1132,0)),"")</f>
        <v>CLOUD, NETWORK, MACHINE LEARNING</v>
      </c>
      <c r="N571" t="s">
        <v>76</v>
      </c>
      <c r="O571" t="s">
        <v>37</v>
      </c>
    </row>
    <row r="572" spans="1:15" x14ac:dyDescent="0.25">
      <c r="A572">
        <v>18420</v>
      </c>
      <c r="B572" t="s">
        <v>20</v>
      </c>
      <c r="C572" t="s">
        <v>27</v>
      </c>
      <c r="D572" t="str">
        <f>IFERROR(INDEX(Sheet2!$B$2:$B$1132,MATCH(Sheet1!C572,Sheet1!$C$2:$C$1132,0)),"IDK")</f>
        <v>IT</v>
      </c>
      <c r="E572" t="s">
        <v>49</v>
      </c>
      <c r="F572" t="s">
        <v>53</v>
      </c>
      <c r="G572" s="1">
        <v>45341</v>
      </c>
      <c r="H572" t="s">
        <v>55</v>
      </c>
      <c r="I572" s="2" t="s">
        <v>96</v>
      </c>
      <c r="J572" s="2" t="s">
        <v>97</v>
      </c>
      <c r="K572">
        <f>IFERROR(INDEX(Sheet2!$C$2:$C$1132,MATCH(Sheet1!C572,Sheet1!$C$2:$C$1132,0)),"")</f>
        <v>40000</v>
      </c>
      <c r="L572">
        <f>IFERROR(INDEX(Sheet2!$D$2:$D$1132,MATCH(Sheet1!C572,$C$2:$C$1132,0)),"")</f>
        <v>80000</v>
      </c>
      <c r="M572" t="str">
        <f>IFERROR(INDEX($M$2:$M$1132,MATCH(B572,$B$2:$B$1132,0)),"")</f>
        <v>CLOUD, NETWORK, MACHINE LEARNING</v>
      </c>
      <c r="N572" t="s">
        <v>76</v>
      </c>
      <c r="O572" t="s">
        <v>78</v>
      </c>
    </row>
    <row r="573" spans="1:15" x14ac:dyDescent="0.25">
      <c r="A573">
        <v>18421</v>
      </c>
      <c r="B573" t="s">
        <v>20</v>
      </c>
      <c r="C573" t="s">
        <v>28</v>
      </c>
      <c r="D573" t="str">
        <f>IFERROR(INDEX(Sheet2!$B$2:$B$1132,MATCH(Sheet1!C573,Sheet1!$C$2:$C$1132,0)),"IDK")</f>
        <v>IT</v>
      </c>
      <c r="E573" t="s">
        <v>49</v>
      </c>
      <c r="F573" t="s">
        <v>53</v>
      </c>
      <c r="G573" s="1">
        <v>45320</v>
      </c>
      <c r="H573" t="s">
        <v>55</v>
      </c>
      <c r="I573" s="2" t="s">
        <v>98</v>
      </c>
      <c r="J573" s="2" t="s">
        <v>99</v>
      </c>
      <c r="K573">
        <f>IFERROR(INDEX(Sheet2!$C$2:$C$1132,MATCH(Sheet1!C573,Sheet1!$C$2:$C$1132,0)),"")</f>
        <v>30000</v>
      </c>
      <c r="L573">
        <f>IFERROR(INDEX(Sheet2!$D$2:$D$1132,MATCH(Sheet1!C573,$C$2:$C$1132,0)),"")</f>
        <v>55000</v>
      </c>
      <c r="M573" t="str">
        <f>IFERROR(INDEX($M$2:$M$1132,MATCH(B573,$B$2:$B$1132,0)),"")</f>
        <v>CLOUD, NETWORK, MACHINE LEARNING</v>
      </c>
      <c r="N573" t="s">
        <v>76</v>
      </c>
      <c r="O573" t="s">
        <v>80</v>
      </c>
    </row>
    <row r="574" spans="1:15" x14ac:dyDescent="0.25">
      <c r="A574">
        <v>18422</v>
      </c>
      <c r="B574" t="s">
        <v>20</v>
      </c>
      <c r="C574" t="s">
        <v>29</v>
      </c>
      <c r="D574" t="str">
        <f>IFERROR(INDEX(Sheet2!$B$2:$B$1132,MATCH(Sheet1!C574,Sheet1!$C$2:$C$1132,0)),"IDK")</f>
        <v>IT</v>
      </c>
      <c r="E574" t="s">
        <v>49</v>
      </c>
      <c r="F574" t="s">
        <v>53</v>
      </c>
      <c r="G574" s="1">
        <v>45527</v>
      </c>
      <c r="H574" t="s">
        <v>55</v>
      </c>
      <c r="I574" s="2" t="s">
        <v>100</v>
      </c>
      <c r="J574" s="2" t="s">
        <v>101</v>
      </c>
      <c r="K574">
        <f>IFERROR(INDEX(Sheet2!$C$2:$C$1132,MATCH(Sheet1!C574,Sheet1!$C$2:$C$1132,0)),"")</f>
        <v>35000</v>
      </c>
      <c r="L574">
        <f>IFERROR(INDEX(Sheet2!$D$2:$D$1132,MATCH(Sheet1!C574,$C$2:$C$1132,0)),"")</f>
        <v>70000</v>
      </c>
      <c r="M574" t="str">
        <f>IFERROR(INDEX($M$2:$M$1132,MATCH(B574,$B$2:$B$1132,0)),"")</f>
        <v>CLOUD, NETWORK, MACHINE LEARNING</v>
      </c>
      <c r="N574" t="s">
        <v>76</v>
      </c>
      <c r="O574" t="s">
        <v>79</v>
      </c>
    </row>
    <row r="575" spans="1:15" x14ac:dyDescent="0.25">
      <c r="A575">
        <v>18423</v>
      </c>
      <c r="B575" t="s">
        <v>20</v>
      </c>
      <c r="C575" t="s">
        <v>23</v>
      </c>
      <c r="D575" t="str">
        <f>IFERROR(INDEX(Sheet2!$B$2:$B$1132,MATCH(Sheet1!C575,Sheet1!$C$2:$C$1132,0)),"IDK")</f>
        <v>IT</v>
      </c>
      <c r="E575" t="s">
        <v>49</v>
      </c>
      <c r="F575" t="s">
        <v>53</v>
      </c>
      <c r="G575" s="1">
        <v>45405</v>
      </c>
      <c r="H575" t="s">
        <v>55</v>
      </c>
      <c r="I575" s="2" t="s">
        <v>102</v>
      </c>
      <c r="J575" s="2" t="s">
        <v>103</v>
      </c>
      <c r="K575">
        <f>IFERROR(INDEX(Sheet2!$C$2:$C$1132,MATCH(Sheet1!C575,Sheet1!$C$2:$C$1132,0)),"")</f>
        <v>35000</v>
      </c>
      <c r="L575">
        <f>IFERROR(INDEX(Sheet2!$D$2:$D$1132,MATCH(Sheet1!C575,$C$2:$C$1132,0)),"")</f>
        <v>70000</v>
      </c>
      <c r="M575" t="str">
        <f>IFERROR(INDEX($M$2:$M$1132,MATCH(B575,$B$2:$B$1132,0)),"")</f>
        <v>CLOUD, NETWORK, MACHINE LEARNING</v>
      </c>
      <c r="N575" t="s">
        <v>76</v>
      </c>
      <c r="O575" t="s">
        <v>37</v>
      </c>
    </row>
    <row r="576" spans="1:15" x14ac:dyDescent="0.25">
      <c r="A576">
        <v>18424</v>
      </c>
      <c r="B576" t="s">
        <v>20</v>
      </c>
      <c r="C576" t="s">
        <v>30</v>
      </c>
      <c r="D576" t="str">
        <f>IFERROR(INDEX(Sheet2!$B$2:$B$1132,MATCH(Sheet1!C576,Sheet1!$C$2:$C$1132,0)),"IDK")</f>
        <v>IT</v>
      </c>
      <c r="E576" t="s">
        <v>49</v>
      </c>
      <c r="F576" t="s">
        <v>53</v>
      </c>
      <c r="G576" s="1">
        <v>45614</v>
      </c>
      <c r="H576" t="s">
        <v>55</v>
      </c>
      <c r="I576" s="2" t="s">
        <v>104</v>
      </c>
      <c r="J576" s="2" t="s">
        <v>105</v>
      </c>
      <c r="K576">
        <f>IFERROR(INDEX(Sheet2!$C$2:$C$1132,MATCH(Sheet1!C576,Sheet1!$C$2:$C$1132,0)),"")</f>
        <v>25000</v>
      </c>
      <c r="L576">
        <f>IFERROR(INDEX(Sheet2!$D$2:$D$1132,MATCH(Sheet1!C576,$C$2:$C$1132,0)),"")</f>
        <v>60000</v>
      </c>
      <c r="M576" t="str">
        <f>IFERROR(INDEX($M$2:$M$1132,MATCH(B576,$B$2:$B$1132,0)),"")</f>
        <v>CLOUD, NETWORK, MACHINE LEARNING</v>
      </c>
      <c r="N576" t="s">
        <v>76</v>
      </c>
      <c r="O576" t="s">
        <v>78</v>
      </c>
    </row>
    <row r="577" spans="1:15" x14ac:dyDescent="0.25">
      <c r="A577">
        <v>18425</v>
      </c>
      <c r="B577" t="s">
        <v>20</v>
      </c>
      <c r="C577" t="s">
        <v>31</v>
      </c>
      <c r="D577" t="str">
        <f>IFERROR(INDEX(Sheet2!$B$2:$B$1132,MATCH(Sheet1!C577,Sheet1!$C$2:$C$1132,0)),"IDK")</f>
        <v>IT</v>
      </c>
      <c r="E577" t="s">
        <v>49</v>
      </c>
      <c r="F577" t="s">
        <v>53</v>
      </c>
      <c r="G577" s="1">
        <v>45359</v>
      </c>
      <c r="H577" t="s">
        <v>55</v>
      </c>
      <c r="I577" s="2" t="s">
        <v>88</v>
      </c>
      <c r="J577" s="2" t="s">
        <v>90</v>
      </c>
      <c r="K577">
        <f>IFERROR(INDEX(Sheet2!$C$2:$C$1132,MATCH(Sheet1!C577,Sheet1!$C$2:$C$1132,0)),"")</f>
        <v>25000</v>
      </c>
      <c r="L577">
        <f>IFERROR(INDEX(Sheet2!$D$2:$D$1132,MATCH(Sheet1!C577,$C$2:$C$1132,0)),"")</f>
        <v>75000</v>
      </c>
      <c r="M577" t="str">
        <f>IFERROR(INDEX($M$2:$M$1132,MATCH(B577,$B$2:$B$1132,0)),"")</f>
        <v>CLOUD, NETWORK, MACHINE LEARNING</v>
      </c>
      <c r="N577" t="s">
        <v>76</v>
      </c>
      <c r="O577" t="s">
        <v>79</v>
      </c>
    </row>
    <row r="578" spans="1:15" x14ac:dyDescent="0.25">
      <c r="A578">
        <v>18426</v>
      </c>
      <c r="B578" t="s">
        <v>20</v>
      </c>
      <c r="C578" t="s">
        <v>32</v>
      </c>
      <c r="D578" t="str">
        <f>IFERROR(INDEX(Sheet2!$B$2:$B$1132,MATCH(Sheet1!C578,Sheet1!$C$2:$C$1132,0)),"IDK")</f>
        <v>SOCIAL</v>
      </c>
      <c r="E578" t="s">
        <v>49</v>
      </c>
      <c r="F578" t="s">
        <v>53</v>
      </c>
      <c r="G578" s="1">
        <v>45620</v>
      </c>
      <c r="H578" t="s">
        <v>55</v>
      </c>
      <c r="I578" s="2" t="s">
        <v>86</v>
      </c>
      <c r="J578" s="2" t="s">
        <v>87</v>
      </c>
      <c r="K578">
        <f>IFERROR(INDEX(Sheet2!$C$2:$C$1132,MATCH(Sheet1!C578,Sheet1!$C$2:$C$1132,0)),"")</f>
        <v>20000</v>
      </c>
      <c r="L578">
        <f>IFERROR(INDEX(Sheet2!$D$2:$D$1132,MATCH(Sheet1!C578,$C$2:$C$1132,0)),"")</f>
        <v>70000</v>
      </c>
      <c r="M578" t="str">
        <f>IFERROR(INDEX($M$2:$M$1132,MATCH(B578,$B$2:$B$1132,0)),"")</f>
        <v>CLOUD, NETWORK, MACHINE LEARNING</v>
      </c>
      <c r="N578" t="s">
        <v>76</v>
      </c>
      <c r="O578" t="s">
        <v>80</v>
      </c>
    </row>
    <row r="579" spans="1:15" x14ac:dyDescent="0.25">
      <c r="A579">
        <v>18427</v>
      </c>
      <c r="B579" t="s">
        <v>20</v>
      </c>
      <c r="C579" t="s">
        <v>33</v>
      </c>
      <c r="D579" t="str">
        <f>IFERROR(INDEX(Sheet2!$B$2:$B$1132,MATCH(Sheet1!C579,Sheet1!$C$2:$C$1132,0)),"IDK")</f>
        <v>FINANCE</v>
      </c>
      <c r="E579" t="s">
        <v>49</v>
      </c>
      <c r="F579" t="s">
        <v>53</v>
      </c>
      <c r="G579" s="1">
        <v>45561</v>
      </c>
      <c r="H579" t="s">
        <v>55</v>
      </c>
      <c r="I579" s="2" t="s">
        <v>92</v>
      </c>
      <c r="J579" s="2" t="s">
        <v>93</v>
      </c>
      <c r="K579">
        <f>IFERROR(INDEX(Sheet2!$C$2:$C$1132,MATCH(Sheet1!C579,Sheet1!$C$2:$C$1132,0)),"")</f>
        <v>40000</v>
      </c>
      <c r="L579">
        <f>IFERROR(INDEX(Sheet2!$D$2:$D$1132,MATCH(Sheet1!C579,$C$2:$C$1132,0)),"")</f>
        <v>85000</v>
      </c>
      <c r="M579" t="str">
        <f>IFERROR(INDEX($M$2:$M$1132,MATCH(B579,$B$2:$B$1132,0)),"")</f>
        <v>CLOUD, NETWORK, MACHINE LEARNING</v>
      </c>
      <c r="N579" t="s">
        <v>74</v>
      </c>
      <c r="O579" t="s">
        <v>77</v>
      </c>
    </row>
    <row r="580" spans="1:15" x14ac:dyDescent="0.25">
      <c r="A580">
        <v>18428</v>
      </c>
      <c r="B580" t="s">
        <v>20</v>
      </c>
      <c r="C580" t="s">
        <v>23</v>
      </c>
      <c r="D580" t="str">
        <f>IFERROR(INDEX(Sheet2!$B$2:$B$1132,MATCH(Sheet1!C580,Sheet1!$C$2:$C$1132,0)),"IDK")</f>
        <v>IT</v>
      </c>
      <c r="E580" t="s">
        <v>49</v>
      </c>
      <c r="F580" t="s">
        <v>53</v>
      </c>
      <c r="G580" s="1">
        <v>45427</v>
      </c>
      <c r="H580" t="s">
        <v>55</v>
      </c>
      <c r="I580" s="2" t="s">
        <v>96</v>
      </c>
      <c r="J580" s="2" t="s">
        <v>97</v>
      </c>
      <c r="K580">
        <f>IFERROR(INDEX(Sheet2!$C$2:$C$1132,MATCH(Sheet1!C580,Sheet1!$C$2:$C$1132,0)),"")</f>
        <v>35000</v>
      </c>
      <c r="L580">
        <f>IFERROR(INDEX(Sheet2!$D$2:$D$1132,MATCH(Sheet1!C580,$C$2:$C$1132,0)),"")</f>
        <v>70000</v>
      </c>
      <c r="M580" t="str">
        <f>IFERROR(INDEX($M$2:$M$1132,MATCH(B580,$B$2:$B$1132,0)),"")</f>
        <v>CLOUD, NETWORK, MACHINE LEARNING</v>
      </c>
      <c r="N580" t="s">
        <v>74</v>
      </c>
      <c r="O580" t="s">
        <v>79</v>
      </c>
    </row>
    <row r="581" spans="1:15" x14ac:dyDescent="0.25">
      <c r="A581">
        <v>18429</v>
      </c>
      <c r="B581" t="s">
        <v>20</v>
      </c>
      <c r="C581" t="s">
        <v>24</v>
      </c>
      <c r="D581" t="str">
        <f>IFERROR(INDEX(Sheet2!$B$2:$B$1132,MATCH(Sheet1!C581,Sheet1!$C$2:$C$1132,0)),"IDK")</f>
        <v>HEALTH</v>
      </c>
      <c r="E581" t="s">
        <v>49</v>
      </c>
      <c r="F581" t="s">
        <v>53</v>
      </c>
      <c r="G581" s="1">
        <v>45645</v>
      </c>
      <c r="H581" t="s">
        <v>55</v>
      </c>
      <c r="I581" s="2" t="s">
        <v>98</v>
      </c>
      <c r="J581" s="2" t="s">
        <v>99</v>
      </c>
      <c r="K581">
        <f>IFERROR(INDEX(Sheet2!$C$2:$C$1132,MATCH(Sheet1!C581,Sheet1!$C$2:$C$1132,0)),"")</f>
        <v>25000</v>
      </c>
      <c r="L581">
        <f>IFERROR(INDEX(Sheet2!$D$2:$D$1132,MATCH(Sheet1!C581,$C$2:$C$1132,0)),"")</f>
        <v>50000</v>
      </c>
      <c r="M581" t="str">
        <f>IFERROR(INDEX($M$2:$M$1132,MATCH(B581,$B$2:$B$1132,0)),"")</f>
        <v>CLOUD, NETWORK, MACHINE LEARNING</v>
      </c>
      <c r="N581" t="s">
        <v>74</v>
      </c>
      <c r="O581" t="s">
        <v>37</v>
      </c>
    </row>
    <row r="582" spans="1:15" x14ac:dyDescent="0.25">
      <c r="A582">
        <v>18430</v>
      </c>
      <c r="B582" t="s">
        <v>20</v>
      </c>
      <c r="C582" t="s">
        <v>25</v>
      </c>
      <c r="D582" t="str">
        <f>IFERROR(INDEX(Sheet2!$B$2:$B$1132,MATCH(Sheet1!C582,Sheet1!$C$2:$C$1132,0)),"IDK")</f>
        <v>SOCIAL</v>
      </c>
      <c r="E582" t="s">
        <v>49</v>
      </c>
      <c r="F582" t="s">
        <v>53</v>
      </c>
      <c r="G582" s="1">
        <v>45471</v>
      </c>
      <c r="H582" t="s">
        <v>55</v>
      </c>
      <c r="I582" s="2" t="s">
        <v>82</v>
      </c>
      <c r="J582" s="2" t="s">
        <v>83</v>
      </c>
      <c r="K582">
        <f>IFERROR(INDEX(Sheet2!$C$2:$C$1132,MATCH(Sheet1!C582,Sheet1!$C$2:$C$1132,0)),"")</f>
        <v>30000</v>
      </c>
      <c r="L582">
        <f>IFERROR(INDEX(Sheet2!$D$2:$D$1132,MATCH(Sheet1!C582,$C$2:$C$1132,0)),"")</f>
        <v>60000</v>
      </c>
      <c r="M582" t="str">
        <f>IFERROR(INDEX($M$2:$M$1132,MATCH(B582,$B$2:$B$1132,0)),"")</f>
        <v>CLOUD, NETWORK, MACHINE LEARNING</v>
      </c>
      <c r="N582" t="s">
        <v>74</v>
      </c>
      <c r="O582" t="s">
        <v>78</v>
      </c>
    </row>
    <row r="583" spans="1:15" x14ac:dyDescent="0.25">
      <c r="A583">
        <v>18431</v>
      </c>
      <c r="B583" t="s">
        <v>20</v>
      </c>
      <c r="C583" t="s">
        <v>26</v>
      </c>
      <c r="D583" t="str">
        <f>IFERROR(INDEX(Sheet2!$B$2:$B$1132,MATCH(Sheet1!C583,Sheet1!$C$2:$C$1132,0)),"IDK")</f>
        <v>FINANCE</v>
      </c>
      <c r="E583" t="s">
        <v>49</v>
      </c>
      <c r="F583" t="s">
        <v>53</v>
      </c>
      <c r="G583" s="1">
        <v>45403</v>
      </c>
      <c r="H583" t="s">
        <v>55</v>
      </c>
      <c r="I583" s="2" t="s">
        <v>82</v>
      </c>
      <c r="J583" s="2" t="s">
        <v>84</v>
      </c>
      <c r="K583">
        <f>IFERROR(INDEX(Sheet2!$C$2:$C$1132,MATCH(Sheet1!C583,Sheet1!$C$2:$C$1132,0)),"")</f>
        <v>35000</v>
      </c>
      <c r="L583">
        <f>IFERROR(INDEX(Sheet2!$D$2:$D$1132,MATCH(Sheet1!C583,$C$2:$C$1132,0)),"")</f>
        <v>75000</v>
      </c>
      <c r="M583" t="str">
        <f>IFERROR(INDEX($M$2:$M$1132,MATCH(B583,$B$2:$B$1132,0)),"")</f>
        <v>CLOUD, NETWORK, MACHINE LEARNING</v>
      </c>
      <c r="N583" t="s">
        <v>74</v>
      </c>
      <c r="O583" t="s">
        <v>78</v>
      </c>
    </row>
    <row r="584" spans="1:15" x14ac:dyDescent="0.25">
      <c r="A584">
        <v>18432</v>
      </c>
      <c r="B584" t="s">
        <v>20</v>
      </c>
      <c r="C584" t="s">
        <v>37</v>
      </c>
      <c r="D584" t="s">
        <v>43</v>
      </c>
      <c r="E584" t="s">
        <v>49</v>
      </c>
      <c r="F584" t="s">
        <v>53</v>
      </c>
      <c r="G584" s="1">
        <v>45352</v>
      </c>
      <c r="H584" t="s">
        <v>55</v>
      </c>
      <c r="I584" s="2" t="s">
        <v>82</v>
      </c>
      <c r="J584" s="2" t="s">
        <v>85</v>
      </c>
      <c r="K584">
        <f>IFERROR(INDEX(Sheet2!$C$2:$C$1132,MATCH(Sheet1!C584,Sheet1!$C$2:$C$1132,0)),"")</f>
        <v>0</v>
      </c>
      <c r="L584">
        <f>IFERROR(INDEX(Sheet2!$D$2:$D$1132,MATCH(Sheet1!C584,$C$2:$C$1132,0)),"")</f>
        <v>0</v>
      </c>
      <c r="M584" t="str">
        <f>IFERROR(INDEX($M$2:$M$1132,MATCH(B584,$B$2:$B$1132,0)),"")</f>
        <v>CLOUD, NETWORK, MACHINE LEARNING</v>
      </c>
      <c r="N584" t="s">
        <v>74</v>
      </c>
      <c r="O584" t="s">
        <v>79</v>
      </c>
    </row>
    <row r="585" spans="1:15" x14ac:dyDescent="0.25">
      <c r="A585">
        <v>18433</v>
      </c>
      <c r="B585" t="s">
        <v>20</v>
      </c>
      <c r="C585" t="s">
        <v>38</v>
      </c>
      <c r="D585" t="s">
        <v>42</v>
      </c>
      <c r="E585" t="s">
        <v>49</v>
      </c>
      <c r="F585" t="s">
        <v>53</v>
      </c>
      <c r="G585" s="1">
        <v>45458</v>
      </c>
      <c r="H585" t="s">
        <v>55</v>
      </c>
      <c r="I585" s="2" t="s">
        <v>86</v>
      </c>
      <c r="J585" s="2" t="s">
        <v>87</v>
      </c>
      <c r="K585">
        <f>IFERROR(INDEX(Sheet2!$C$2:$C$1132,MATCH(Sheet1!C585,Sheet1!$C$2:$C$1132,0)),"")</f>
        <v>0</v>
      </c>
      <c r="L585">
        <f>IFERROR(INDEX(Sheet2!$D$2:$D$1132,MATCH(Sheet1!C585,$C$2:$C$1132,0)),"")</f>
        <v>0</v>
      </c>
      <c r="M585" t="str">
        <f>IFERROR(INDEX($M$2:$M$1132,MATCH(B585,$B$2:$B$1132,0)),"")</f>
        <v>CLOUD, NETWORK, MACHINE LEARNING</v>
      </c>
      <c r="N585" t="s">
        <v>74</v>
      </c>
      <c r="O585" t="s">
        <v>80</v>
      </c>
    </row>
    <row r="586" spans="1:15" x14ac:dyDescent="0.25">
      <c r="A586">
        <v>18434</v>
      </c>
      <c r="B586" t="s">
        <v>20</v>
      </c>
      <c r="C586" t="s">
        <v>39</v>
      </c>
      <c r="D586" t="s">
        <v>42</v>
      </c>
      <c r="E586" t="s">
        <v>49</v>
      </c>
      <c r="F586" t="s">
        <v>53</v>
      </c>
      <c r="G586" s="1">
        <v>45605</v>
      </c>
      <c r="H586" t="s">
        <v>55</v>
      </c>
      <c r="I586" s="2" t="s">
        <v>88</v>
      </c>
      <c r="J586" s="2" t="s">
        <v>89</v>
      </c>
      <c r="K586">
        <f>IFERROR(INDEX(Sheet2!$C$2:$C$1132,MATCH(Sheet1!C586,Sheet1!$C$2:$C$1132,0)),"")</f>
        <v>0</v>
      </c>
      <c r="L586">
        <f>IFERROR(INDEX(Sheet2!$D$2:$D$1132,MATCH(Sheet1!C586,$C$2:$C$1132,0)),"")</f>
        <v>0</v>
      </c>
      <c r="M586" t="str">
        <f>IFERROR(INDEX($M$2:$M$1132,MATCH(B586,$B$2:$B$1132,0)),"")</f>
        <v>CLOUD, NETWORK, MACHINE LEARNING</v>
      </c>
      <c r="N586" t="s">
        <v>74</v>
      </c>
      <c r="O586" t="s">
        <v>77</v>
      </c>
    </row>
    <row r="587" spans="1:15" x14ac:dyDescent="0.25">
      <c r="A587">
        <v>18435</v>
      </c>
      <c r="B587" t="s">
        <v>20</v>
      </c>
      <c r="C587" t="s">
        <v>23</v>
      </c>
      <c r="D587" t="str">
        <f>IFERROR(INDEX(Sheet2!$B$2:$B$1132,MATCH(Sheet1!C587,Sheet1!$C$2:$C$1132,0)),"IDK")</f>
        <v>IT</v>
      </c>
      <c r="E587" t="s">
        <v>49</v>
      </c>
      <c r="F587" t="s">
        <v>53</v>
      </c>
      <c r="G587" s="1">
        <v>45377</v>
      </c>
      <c r="H587" t="s">
        <v>55</v>
      </c>
      <c r="I587" s="2" t="s">
        <v>88</v>
      </c>
      <c r="J587" s="2" t="s">
        <v>90</v>
      </c>
      <c r="K587">
        <f>IFERROR(INDEX(Sheet2!$C$2:$C$1132,MATCH(Sheet1!C587,Sheet1!$C$2:$C$1132,0)),"")</f>
        <v>35000</v>
      </c>
      <c r="L587">
        <f>IFERROR(INDEX(Sheet2!$D$2:$D$1132,MATCH(Sheet1!C587,$C$2:$C$1132,0)),"")</f>
        <v>70000</v>
      </c>
      <c r="M587" t="str">
        <f>IFERROR(INDEX($M$2:$M$1132,MATCH(B587,$B$2:$B$1132,0)),"")</f>
        <v>CLOUD, NETWORK, MACHINE LEARNING</v>
      </c>
      <c r="N587" t="s">
        <v>74</v>
      </c>
      <c r="O587" t="s">
        <v>79</v>
      </c>
    </row>
    <row r="588" spans="1:15" x14ac:dyDescent="0.25">
      <c r="A588">
        <v>18436</v>
      </c>
      <c r="B588" t="s">
        <v>20</v>
      </c>
      <c r="C588" t="s">
        <v>30</v>
      </c>
      <c r="D588" t="str">
        <f>IFERROR(INDEX(Sheet2!$B$2:$B$1132,MATCH(Sheet1!C588,Sheet1!$C$2:$C$1132,0)),"IDK")</f>
        <v>IT</v>
      </c>
      <c r="E588" t="s">
        <v>49</v>
      </c>
      <c r="F588" t="s">
        <v>53</v>
      </c>
      <c r="G588" s="1">
        <v>45494</v>
      </c>
      <c r="H588" t="s">
        <v>55</v>
      </c>
      <c r="I588" s="2" t="s">
        <v>88</v>
      </c>
      <c r="J588" s="2" t="s">
        <v>91</v>
      </c>
      <c r="K588">
        <f>IFERROR(INDEX(Sheet2!$C$2:$C$1132,MATCH(Sheet1!C588,Sheet1!$C$2:$C$1132,0)),"")</f>
        <v>25000</v>
      </c>
      <c r="L588">
        <f>IFERROR(INDEX(Sheet2!$D$2:$D$1132,MATCH(Sheet1!C588,$C$2:$C$1132,0)),"")</f>
        <v>60000</v>
      </c>
      <c r="M588" t="str">
        <f>IFERROR(INDEX($M$2:$M$1132,MATCH(B588,$B$2:$B$1132,0)),"")</f>
        <v>CLOUD, NETWORK, MACHINE LEARNING</v>
      </c>
      <c r="N588" t="s">
        <v>75</v>
      </c>
      <c r="O588" t="s">
        <v>37</v>
      </c>
    </row>
    <row r="589" spans="1:15" x14ac:dyDescent="0.25">
      <c r="A589">
        <v>18437</v>
      </c>
      <c r="B589" t="s">
        <v>20</v>
      </c>
      <c r="C589" t="s">
        <v>31</v>
      </c>
      <c r="D589" t="str">
        <f>IFERROR(INDEX(Sheet2!$B$2:$B$1132,MATCH(Sheet1!C589,Sheet1!$C$2:$C$1132,0)),"IDK")</f>
        <v>IT</v>
      </c>
      <c r="E589" t="s">
        <v>49</v>
      </c>
      <c r="F589" t="s">
        <v>53</v>
      </c>
      <c r="G589" s="1">
        <v>45307</v>
      </c>
      <c r="H589" t="s">
        <v>55</v>
      </c>
      <c r="I589" s="2" t="s">
        <v>92</v>
      </c>
      <c r="J589" s="2" t="s">
        <v>93</v>
      </c>
      <c r="K589">
        <f>IFERROR(INDEX(Sheet2!$C$2:$C$1132,MATCH(Sheet1!C589,Sheet1!$C$2:$C$1132,0)),"")</f>
        <v>25000</v>
      </c>
      <c r="L589">
        <f>IFERROR(INDEX(Sheet2!$D$2:$D$1132,MATCH(Sheet1!C589,$C$2:$C$1132,0)),"")</f>
        <v>75000</v>
      </c>
      <c r="M589" t="str">
        <f>IFERROR(INDEX($M$2:$M$1132,MATCH(B589,$B$2:$B$1132,0)),"")</f>
        <v>CLOUD, NETWORK, MACHINE LEARNING</v>
      </c>
      <c r="N589" t="s">
        <v>75</v>
      </c>
      <c r="O589" t="s">
        <v>78</v>
      </c>
    </row>
    <row r="590" spans="1:15" x14ac:dyDescent="0.25">
      <c r="A590">
        <v>18438</v>
      </c>
      <c r="B590" t="s">
        <v>20</v>
      </c>
      <c r="C590" t="s">
        <v>32</v>
      </c>
      <c r="D590" t="str">
        <f>IFERROR(INDEX(Sheet2!$B$2:$B$1132,MATCH(Sheet1!C590,Sheet1!$C$2:$C$1132,0)),"IDK")</f>
        <v>SOCIAL</v>
      </c>
      <c r="E590" t="s">
        <v>49</v>
      </c>
      <c r="F590" t="s">
        <v>53</v>
      </c>
      <c r="G590" s="1">
        <v>45397</v>
      </c>
      <c r="H590" t="s">
        <v>55</v>
      </c>
      <c r="I590" s="2" t="s">
        <v>94</v>
      </c>
      <c r="J590" s="2" t="s">
        <v>95</v>
      </c>
      <c r="K590">
        <f>IFERROR(INDEX(Sheet2!$C$2:$C$1132,MATCH(Sheet1!C590,Sheet1!$C$2:$C$1132,0)),"")</f>
        <v>20000</v>
      </c>
      <c r="L590">
        <f>IFERROR(INDEX(Sheet2!$D$2:$D$1132,MATCH(Sheet1!C590,$C$2:$C$1132,0)),"")</f>
        <v>70000</v>
      </c>
      <c r="M590" t="str">
        <f>IFERROR(INDEX($M$2:$M$1132,MATCH(B590,$B$2:$B$1132,0)),"")</f>
        <v>CLOUD, NETWORK, MACHINE LEARNING</v>
      </c>
      <c r="N590" t="s">
        <v>75</v>
      </c>
      <c r="O590" t="s">
        <v>80</v>
      </c>
    </row>
    <row r="591" spans="1:15" x14ac:dyDescent="0.25">
      <c r="A591">
        <v>18439</v>
      </c>
      <c r="B591" t="s">
        <v>20</v>
      </c>
      <c r="C591" t="s">
        <v>33</v>
      </c>
      <c r="D591" t="str">
        <f>IFERROR(INDEX(Sheet2!$B$2:$B$1132,MATCH(Sheet1!C591,Sheet1!$C$2:$C$1132,0)),"IDK")</f>
        <v>FINANCE</v>
      </c>
      <c r="E591" t="s">
        <v>49</v>
      </c>
      <c r="F591" t="s">
        <v>53</v>
      </c>
      <c r="G591" s="1">
        <v>45351</v>
      </c>
      <c r="H591" t="s">
        <v>55</v>
      </c>
      <c r="I591" s="2" t="s">
        <v>96</v>
      </c>
      <c r="J591" s="2" t="s">
        <v>97</v>
      </c>
      <c r="K591">
        <f>IFERROR(INDEX(Sheet2!$C$2:$C$1132,MATCH(Sheet1!C591,Sheet1!$C$2:$C$1132,0)),"")</f>
        <v>40000</v>
      </c>
      <c r="L591">
        <f>IFERROR(INDEX(Sheet2!$D$2:$D$1132,MATCH(Sheet1!C591,$C$2:$C$1132,0)),"")</f>
        <v>85000</v>
      </c>
      <c r="M591" t="str">
        <f>IFERROR(INDEX($M$2:$M$1132,MATCH(B591,$B$2:$B$1132,0)),"")</f>
        <v>CLOUD, NETWORK, MACHINE LEARNING</v>
      </c>
      <c r="N591" t="s">
        <v>75</v>
      </c>
      <c r="O591" t="s">
        <v>79</v>
      </c>
    </row>
    <row r="592" spans="1:15" x14ac:dyDescent="0.25">
      <c r="A592">
        <v>18440</v>
      </c>
      <c r="B592" t="s">
        <v>20</v>
      </c>
      <c r="C592" t="s">
        <v>23</v>
      </c>
      <c r="D592" t="str">
        <f>IFERROR(INDEX(Sheet2!$B$2:$B$1132,MATCH(Sheet1!C592,Sheet1!$C$2:$C$1132,0)),"IDK")</f>
        <v>IT</v>
      </c>
      <c r="E592" t="s">
        <v>49</v>
      </c>
      <c r="F592" t="s">
        <v>53</v>
      </c>
      <c r="G592" s="1">
        <v>45465</v>
      </c>
      <c r="H592" t="s">
        <v>55</v>
      </c>
      <c r="I592" s="2" t="s">
        <v>98</v>
      </c>
      <c r="J592" s="2" t="s">
        <v>99</v>
      </c>
      <c r="K592">
        <f>IFERROR(INDEX(Sheet2!$C$2:$C$1132,MATCH(Sheet1!C592,Sheet1!$C$2:$C$1132,0)),"")</f>
        <v>35000</v>
      </c>
      <c r="L592">
        <f>IFERROR(INDEX(Sheet2!$D$2:$D$1132,MATCH(Sheet1!C592,$C$2:$C$1132,0)),"")</f>
        <v>70000</v>
      </c>
      <c r="M592" t="str">
        <f>IFERROR(INDEX($M$2:$M$1132,MATCH(B592,$B$2:$B$1132,0)),"")</f>
        <v>CLOUD, NETWORK, MACHINE LEARNING</v>
      </c>
      <c r="N592" t="s">
        <v>75</v>
      </c>
      <c r="O592" t="s">
        <v>37</v>
      </c>
    </row>
    <row r="593" spans="1:15" x14ac:dyDescent="0.25">
      <c r="A593">
        <v>18441</v>
      </c>
      <c r="B593" t="s">
        <v>20</v>
      </c>
      <c r="C593" t="s">
        <v>24</v>
      </c>
      <c r="D593" t="str">
        <f>IFERROR(INDEX(Sheet2!$B$2:$B$1132,MATCH(Sheet1!C593,Sheet1!$C$2:$C$1132,0)),"IDK")</f>
        <v>HEALTH</v>
      </c>
      <c r="E593" t="s">
        <v>49</v>
      </c>
      <c r="F593" t="s">
        <v>53</v>
      </c>
      <c r="G593" s="1">
        <v>45417</v>
      </c>
      <c r="H593" t="s">
        <v>55</v>
      </c>
      <c r="I593" s="2" t="s">
        <v>100</v>
      </c>
      <c r="J593" s="2" t="s">
        <v>101</v>
      </c>
      <c r="K593">
        <f>IFERROR(INDEX(Sheet2!$C$2:$C$1132,MATCH(Sheet1!C593,Sheet1!$C$2:$C$1132,0)),"")</f>
        <v>25000</v>
      </c>
      <c r="L593">
        <f>IFERROR(INDEX(Sheet2!$D$2:$D$1132,MATCH(Sheet1!C593,$C$2:$C$1132,0)),"")</f>
        <v>50000</v>
      </c>
      <c r="M593" t="str">
        <f>IFERROR(INDEX($M$2:$M$1132,MATCH(B593,$B$2:$B$1132,0)),"")</f>
        <v>CLOUD, NETWORK, MACHINE LEARNING</v>
      </c>
      <c r="N593" t="s">
        <v>75</v>
      </c>
      <c r="O593" t="s">
        <v>78</v>
      </c>
    </row>
    <row r="594" spans="1:15" x14ac:dyDescent="0.25">
      <c r="A594">
        <v>18442</v>
      </c>
      <c r="B594" t="s">
        <v>20</v>
      </c>
      <c r="C594" t="s">
        <v>25</v>
      </c>
      <c r="D594" t="str">
        <f>IFERROR(INDEX(Sheet2!$B$2:$B$1132,MATCH(Sheet1!C594,Sheet1!$C$2:$C$1132,0)),"IDK")</f>
        <v>SOCIAL</v>
      </c>
      <c r="E594" t="s">
        <v>49</v>
      </c>
      <c r="F594" t="s">
        <v>53</v>
      </c>
      <c r="G594" s="1">
        <v>45308</v>
      </c>
      <c r="H594" t="s">
        <v>55</v>
      </c>
      <c r="I594" s="2" t="s">
        <v>102</v>
      </c>
      <c r="J594" s="2" t="s">
        <v>103</v>
      </c>
      <c r="K594">
        <f>IFERROR(INDEX(Sheet2!$C$2:$C$1132,MATCH(Sheet1!C594,Sheet1!$C$2:$C$1132,0)),"")</f>
        <v>30000</v>
      </c>
      <c r="L594">
        <f>IFERROR(INDEX(Sheet2!$D$2:$D$1132,MATCH(Sheet1!C594,$C$2:$C$1132,0)),"")</f>
        <v>60000</v>
      </c>
      <c r="M594" t="str">
        <f>IFERROR(INDEX($M$2:$M$1132,MATCH(B594,$B$2:$B$1132,0)),"")</f>
        <v>CLOUD, NETWORK, MACHINE LEARNING</v>
      </c>
      <c r="N594" t="s">
        <v>75</v>
      </c>
      <c r="O594" t="s">
        <v>79</v>
      </c>
    </row>
    <row r="595" spans="1:15" x14ac:dyDescent="0.25">
      <c r="A595">
        <v>18443</v>
      </c>
      <c r="B595" t="s">
        <v>20</v>
      </c>
      <c r="C595" t="s">
        <v>26</v>
      </c>
      <c r="D595" t="str">
        <f>IFERROR(INDEX(Sheet2!$B$2:$B$1132,MATCH(Sheet1!C595,Sheet1!$C$2:$C$1132,0)),"IDK")</f>
        <v>FINANCE</v>
      </c>
      <c r="E595" t="s">
        <v>49</v>
      </c>
      <c r="F595" t="s">
        <v>53</v>
      </c>
      <c r="G595" s="1">
        <v>45613</v>
      </c>
      <c r="H595" t="s">
        <v>55</v>
      </c>
      <c r="I595" s="2" t="s">
        <v>104</v>
      </c>
      <c r="J595" s="2" t="s">
        <v>105</v>
      </c>
      <c r="K595">
        <f>IFERROR(INDEX(Sheet2!$C$2:$C$1132,MATCH(Sheet1!C595,Sheet1!$C$2:$C$1132,0)),"")</f>
        <v>35000</v>
      </c>
      <c r="L595">
        <f>IFERROR(INDEX(Sheet2!$D$2:$D$1132,MATCH(Sheet1!C595,$C$2:$C$1132,0)),"")</f>
        <v>75000</v>
      </c>
      <c r="M595" t="str">
        <f>IFERROR(INDEX($M$2:$M$1132,MATCH(B595,$B$2:$B$1132,0)),"")</f>
        <v>CLOUD, NETWORK, MACHINE LEARNING</v>
      </c>
      <c r="N595" t="s">
        <v>75</v>
      </c>
      <c r="O595" t="s">
        <v>80</v>
      </c>
    </row>
    <row r="596" spans="1:15" x14ac:dyDescent="0.25">
      <c r="A596">
        <v>18444</v>
      </c>
      <c r="B596" t="s">
        <v>20</v>
      </c>
      <c r="C596" t="s">
        <v>27</v>
      </c>
      <c r="D596" t="str">
        <f>IFERROR(INDEX(Sheet2!$B$2:$B$1132,MATCH(Sheet1!C596,Sheet1!$C$2:$C$1132,0)),"IDK")</f>
        <v>IT</v>
      </c>
      <c r="E596" t="s">
        <v>49</v>
      </c>
      <c r="F596" t="s">
        <v>53</v>
      </c>
      <c r="G596" s="1">
        <v>45293</v>
      </c>
      <c r="H596" t="s">
        <v>55</v>
      </c>
      <c r="I596" s="2" t="s">
        <v>88</v>
      </c>
      <c r="J596" s="2" t="s">
        <v>90</v>
      </c>
      <c r="K596">
        <f>IFERROR(INDEX(Sheet2!$C$2:$C$1132,MATCH(Sheet1!C596,Sheet1!$C$2:$C$1132,0)),"")</f>
        <v>40000</v>
      </c>
      <c r="L596">
        <f>IFERROR(INDEX(Sheet2!$D$2:$D$1132,MATCH(Sheet1!C596,$C$2:$C$1132,0)),"")</f>
        <v>80000</v>
      </c>
      <c r="M596" t="str">
        <f>IFERROR(INDEX($M$2:$M$1132,MATCH(B596,$B$2:$B$1132,0)),"")</f>
        <v>CLOUD, NETWORK, MACHINE LEARNING</v>
      </c>
      <c r="N596" t="s">
        <v>75</v>
      </c>
      <c r="O596" t="s">
        <v>77</v>
      </c>
    </row>
    <row r="597" spans="1:15" x14ac:dyDescent="0.25">
      <c r="A597">
        <v>18445</v>
      </c>
      <c r="B597" t="s">
        <v>20</v>
      </c>
      <c r="C597" t="s">
        <v>28</v>
      </c>
      <c r="D597" t="str">
        <f>IFERROR(INDEX(Sheet2!$B$2:$B$1132,MATCH(Sheet1!C597,Sheet1!$C$2:$C$1132,0)),"IDK")</f>
        <v>IT</v>
      </c>
      <c r="E597" t="s">
        <v>49</v>
      </c>
      <c r="F597" t="s">
        <v>53</v>
      </c>
      <c r="G597" s="1">
        <v>45404</v>
      </c>
      <c r="H597" t="s">
        <v>55</v>
      </c>
      <c r="I597" s="2" t="s">
        <v>86</v>
      </c>
      <c r="J597" s="2" t="s">
        <v>87</v>
      </c>
      <c r="K597">
        <f>IFERROR(INDEX(Sheet2!$C$2:$C$1132,MATCH(Sheet1!C597,Sheet1!$C$2:$C$1132,0)),"")</f>
        <v>30000</v>
      </c>
      <c r="L597">
        <f>IFERROR(INDEX(Sheet2!$D$2:$D$1132,MATCH(Sheet1!C597,$C$2:$C$1132,0)),"")</f>
        <v>55000</v>
      </c>
      <c r="M597" t="str">
        <f>IFERROR(INDEX($M$2:$M$1132,MATCH(B597,$B$2:$B$1132,0)),"")</f>
        <v>CLOUD, NETWORK, MACHINE LEARNING</v>
      </c>
      <c r="N597" t="s">
        <v>76</v>
      </c>
      <c r="O597" t="s">
        <v>79</v>
      </c>
    </row>
    <row r="598" spans="1:15" x14ac:dyDescent="0.25">
      <c r="A598">
        <v>18446</v>
      </c>
      <c r="B598" t="s">
        <v>20</v>
      </c>
      <c r="C598" t="s">
        <v>29</v>
      </c>
      <c r="D598" t="str">
        <f>IFERROR(INDEX(Sheet2!$B$2:$B$1132,MATCH(Sheet1!C598,Sheet1!$C$2:$C$1132,0)),"IDK")</f>
        <v>IT</v>
      </c>
      <c r="E598" t="s">
        <v>49</v>
      </c>
      <c r="F598" t="s">
        <v>53</v>
      </c>
      <c r="G598" s="1">
        <v>45556</v>
      </c>
      <c r="H598" t="s">
        <v>55</v>
      </c>
      <c r="I598" s="2" t="s">
        <v>92</v>
      </c>
      <c r="J598" s="2" t="s">
        <v>93</v>
      </c>
      <c r="K598">
        <f>IFERROR(INDEX(Sheet2!$C$2:$C$1132,MATCH(Sheet1!C598,Sheet1!$C$2:$C$1132,0)),"")</f>
        <v>35000</v>
      </c>
      <c r="L598">
        <f>IFERROR(INDEX(Sheet2!$D$2:$D$1132,MATCH(Sheet1!C598,$C$2:$C$1132,0)),"")</f>
        <v>70000</v>
      </c>
      <c r="M598" t="str">
        <f>IFERROR(INDEX($M$2:$M$1132,MATCH(B598,$B$2:$B$1132,0)),"")</f>
        <v>CLOUD, NETWORK, MACHINE LEARNING</v>
      </c>
      <c r="N598" t="s">
        <v>76</v>
      </c>
      <c r="O598" t="s">
        <v>37</v>
      </c>
    </row>
    <row r="599" spans="1:15" x14ac:dyDescent="0.25">
      <c r="A599">
        <v>18447</v>
      </c>
      <c r="B599" t="s">
        <v>20</v>
      </c>
      <c r="C599" t="s">
        <v>23</v>
      </c>
      <c r="D599" t="str">
        <f>IFERROR(INDEX(Sheet2!$B$2:$B$1132,MATCH(Sheet1!C599,Sheet1!$C$2:$C$1132,0)),"IDK")</f>
        <v>IT</v>
      </c>
      <c r="E599" t="s">
        <v>49</v>
      </c>
      <c r="F599" t="s">
        <v>53</v>
      </c>
      <c r="G599" s="1">
        <v>45333</v>
      </c>
      <c r="H599" t="s">
        <v>55</v>
      </c>
      <c r="I599" s="2" t="s">
        <v>96</v>
      </c>
      <c r="J599" s="2" t="s">
        <v>97</v>
      </c>
      <c r="K599">
        <f>IFERROR(INDEX(Sheet2!$C$2:$C$1132,MATCH(Sheet1!C599,Sheet1!$C$2:$C$1132,0)),"")</f>
        <v>35000</v>
      </c>
      <c r="L599">
        <f>IFERROR(INDEX(Sheet2!$D$2:$D$1132,MATCH(Sheet1!C599,$C$2:$C$1132,0)),"")</f>
        <v>70000</v>
      </c>
      <c r="M599" t="str">
        <f>IFERROR(INDEX($M$2:$M$1132,MATCH(B599,$B$2:$B$1132,0)),"")</f>
        <v>CLOUD, NETWORK, MACHINE LEARNING</v>
      </c>
      <c r="N599" t="s">
        <v>76</v>
      </c>
      <c r="O599" t="s">
        <v>78</v>
      </c>
    </row>
    <row r="600" spans="1:15" x14ac:dyDescent="0.25">
      <c r="A600">
        <v>18448</v>
      </c>
      <c r="B600" t="s">
        <v>19</v>
      </c>
      <c r="C600" t="s">
        <v>30</v>
      </c>
      <c r="D600" t="str">
        <f>IFERROR(INDEX(Sheet2!$B$2:$B$1132,MATCH(Sheet1!C600,Sheet1!$C$2:$C$1132,0)),"IDK")</f>
        <v>IT</v>
      </c>
      <c r="E600" t="s">
        <v>49</v>
      </c>
      <c r="F600" t="s">
        <v>53</v>
      </c>
      <c r="G600" s="1">
        <v>45483</v>
      </c>
      <c r="H600" t="s">
        <v>55</v>
      </c>
      <c r="I600" s="2" t="s">
        <v>98</v>
      </c>
      <c r="J600" s="2" t="s">
        <v>99</v>
      </c>
      <c r="K600">
        <f>IFERROR(INDEX(Sheet2!$C$2:$C$1132,MATCH(Sheet1!C600,Sheet1!$C$2:$C$1132,0)),"")</f>
        <v>25000</v>
      </c>
      <c r="L600">
        <f>IFERROR(INDEX(Sheet2!$D$2:$D$1132,MATCH(Sheet1!C600,$C$2:$C$1132,0)),"")</f>
        <v>60000</v>
      </c>
      <c r="M600" t="str">
        <f>IFERROR(INDEX($M$2:$M$1132,MATCH(B600,$B$2:$B$1132,0)),"")</f>
        <v>NETWORK SECURITY, ETHICAL HACKING, RISK ASSESSMENT</v>
      </c>
      <c r="N600" t="s">
        <v>76</v>
      </c>
      <c r="O600" t="s">
        <v>79</v>
      </c>
    </row>
    <row r="601" spans="1:15" x14ac:dyDescent="0.25">
      <c r="A601">
        <v>18449</v>
      </c>
      <c r="B601" t="s">
        <v>19</v>
      </c>
      <c r="C601" t="s">
        <v>31</v>
      </c>
      <c r="D601" t="str">
        <f>IFERROR(INDEX(Sheet2!$B$2:$B$1132,MATCH(Sheet1!C601,Sheet1!$C$2:$C$1132,0)),"IDK")</f>
        <v>IT</v>
      </c>
      <c r="E601" t="s">
        <v>49</v>
      </c>
      <c r="F601" t="s">
        <v>53</v>
      </c>
      <c r="G601" s="1">
        <v>45434</v>
      </c>
      <c r="H601" t="s">
        <v>55</v>
      </c>
      <c r="I601" s="2" t="s">
        <v>82</v>
      </c>
      <c r="J601" s="2" t="s">
        <v>83</v>
      </c>
      <c r="K601">
        <f>IFERROR(INDEX(Sheet2!$C$2:$C$1132,MATCH(Sheet1!C601,Sheet1!$C$2:$C$1132,0)),"")</f>
        <v>25000</v>
      </c>
      <c r="L601">
        <f>IFERROR(INDEX(Sheet2!$D$2:$D$1132,MATCH(Sheet1!C601,$C$2:$C$1132,0)),"")</f>
        <v>75000</v>
      </c>
      <c r="M601" t="str">
        <f>IFERROR(INDEX($M$2:$M$1132,MATCH(B601,$B$2:$B$1132,0)),"")</f>
        <v>NETWORK SECURITY, ETHICAL HACKING, RISK ASSESSMENT</v>
      </c>
      <c r="N601" t="s">
        <v>76</v>
      </c>
      <c r="O601" t="s">
        <v>80</v>
      </c>
    </row>
    <row r="602" spans="1:15" x14ac:dyDescent="0.25">
      <c r="A602">
        <v>18450</v>
      </c>
      <c r="B602" t="s">
        <v>19</v>
      </c>
      <c r="C602" t="s">
        <v>32</v>
      </c>
      <c r="D602" t="str">
        <f>IFERROR(INDEX(Sheet2!$B$2:$B$1132,MATCH(Sheet1!C602,Sheet1!$C$2:$C$1132,0)),"IDK")</f>
        <v>SOCIAL</v>
      </c>
      <c r="E602" t="s">
        <v>49</v>
      </c>
      <c r="F602" t="s">
        <v>53</v>
      </c>
      <c r="G602" s="1">
        <v>45320</v>
      </c>
      <c r="H602" t="s">
        <v>55</v>
      </c>
      <c r="I602" s="2" t="s">
        <v>82</v>
      </c>
      <c r="J602" s="2" t="s">
        <v>84</v>
      </c>
      <c r="K602">
        <f>IFERROR(INDEX(Sheet2!$C$2:$C$1132,MATCH(Sheet1!C602,Sheet1!$C$2:$C$1132,0)),"")</f>
        <v>20000</v>
      </c>
      <c r="L602">
        <f>IFERROR(INDEX(Sheet2!$D$2:$D$1132,MATCH(Sheet1!C602,$C$2:$C$1132,0)),"")</f>
        <v>70000</v>
      </c>
      <c r="M602" t="str">
        <f>IFERROR(INDEX($M$2:$M$1132,MATCH(B602,$B$2:$B$1132,0)),"")</f>
        <v>NETWORK SECURITY, ETHICAL HACKING, RISK ASSESSMENT</v>
      </c>
      <c r="N602" t="s">
        <v>76</v>
      </c>
      <c r="O602" t="s">
        <v>77</v>
      </c>
    </row>
    <row r="603" spans="1:15" x14ac:dyDescent="0.25">
      <c r="A603">
        <v>18451</v>
      </c>
      <c r="B603" t="s">
        <v>19</v>
      </c>
      <c r="C603" t="s">
        <v>33</v>
      </c>
      <c r="D603" t="str">
        <f>IFERROR(INDEX(Sheet2!$B$2:$B$1132,MATCH(Sheet1!C603,Sheet1!$C$2:$C$1132,0)),"IDK")</f>
        <v>FINANCE</v>
      </c>
      <c r="E603" t="s">
        <v>49</v>
      </c>
      <c r="F603" t="s">
        <v>53</v>
      </c>
      <c r="G603" s="1">
        <v>45424</v>
      </c>
      <c r="H603" t="s">
        <v>55</v>
      </c>
      <c r="I603" s="2" t="s">
        <v>82</v>
      </c>
      <c r="J603" s="2" t="s">
        <v>85</v>
      </c>
      <c r="K603">
        <f>IFERROR(INDEX(Sheet2!$C$2:$C$1132,MATCH(Sheet1!C603,Sheet1!$C$2:$C$1132,0)),"")</f>
        <v>40000</v>
      </c>
      <c r="L603">
        <f>IFERROR(INDEX(Sheet2!$D$2:$D$1132,MATCH(Sheet1!C603,$C$2:$C$1132,0)),"")</f>
        <v>85000</v>
      </c>
      <c r="M603" t="str">
        <f>IFERROR(INDEX($M$2:$M$1132,MATCH(B603,$B$2:$B$1132,0)),"")</f>
        <v>NETWORK SECURITY, ETHICAL HACKING, RISK ASSESSMENT</v>
      </c>
      <c r="N603" t="s">
        <v>76</v>
      </c>
      <c r="O603" t="s">
        <v>79</v>
      </c>
    </row>
    <row r="604" spans="1:15" x14ac:dyDescent="0.25">
      <c r="A604">
        <v>18452</v>
      </c>
      <c r="B604" t="s">
        <v>19</v>
      </c>
      <c r="C604" t="s">
        <v>24</v>
      </c>
      <c r="D604" t="str">
        <f>IFERROR(INDEX(Sheet2!$B$2:$B$1132,MATCH(Sheet1!C604,Sheet1!$C$2:$C$1132,0)),"IDK")</f>
        <v>HEALTH</v>
      </c>
      <c r="E604" t="s">
        <v>49</v>
      </c>
      <c r="F604" t="s">
        <v>53</v>
      </c>
      <c r="G604" s="1">
        <v>45318</v>
      </c>
      <c r="H604" t="s">
        <v>55</v>
      </c>
      <c r="I604" s="2" t="s">
        <v>86</v>
      </c>
      <c r="J604" s="2" t="s">
        <v>87</v>
      </c>
      <c r="K604">
        <f>IFERROR(INDEX(Sheet2!$C$2:$C$1132,MATCH(Sheet1!C604,Sheet1!$C$2:$C$1132,0)),"")</f>
        <v>25000</v>
      </c>
      <c r="L604">
        <f>IFERROR(INDEX(Sheet2!$D$2:$D$1132,MATCH(Sheet1!C604,$C$2:$C$1132,0)),"")</f>
        <v>50000</v>
      </c>
      <c r="M604" t="str">
        <f>IFERROR(INDEX($M$2:$M$1132,MATCH(B604,$B$2:$B$1132,0)),"")</f>
        <v>NETWORK SECURITY, ETHICAL HACKING, RISK ASSESSMENT</v>
      </c>
      <c r="N604" t="s">
        <v>74</v>
      </c>
      <c r="O604" t="s">
        <v>37</v>
      </c>
    </row>
    <row r="605" spans="1:15" x14ac:dyDescent="0.25">
      <c r="A605">
        <v>18453</v>
      </c>
      <c r="B605" t="s">
        <v>19</v>
      </c>
      <c r="C605" t="s">
        <v>25</v>
      </c>
      <c r="D605" t="str">
        <f>IFERROR(INDEX(Sheet2!$B$2:$B$1132,MATCH(Sheet1!C605,Sheet1!$C$2:$C$1132,0)),"IDK")</f>
        <v>SOCIAL</v>
      </c>
      <c r="E605" t="s">
        <v>49</v>
      </c>
      <c r="F605" t="s">
        <v>53</v>
      </c>
      <c r="G605" s="1">
        <v>45526</v>
      </c>
      <c r="H605" t="s">
        <v>55</v>
      </c>
      <c r="I605" s="2" t="s">
        <v>88</v>
      </c>
      <c r="J605" s="2" t="s">
        <v>89</v>
      </c>
      <c r="K605">
        <f>IFERROR(INDEX(Sheet2!$C$2:$C$1132,MATCH(Sheet1!C605,Sheet1!$C$2:$C$1132,0)),"")</f>
        <v>30000</v>
      </c>
      <c r="L605">
        <f>IFERROR(INDEX(Sheet2!$D$2:$D$1132,MATCH(Sheet1!C605,$C$2:$C$1132,0)),"")</f>
        <v>60000</v>
      </c>
      <c r="M605" t="str">
        <f>IFERROR(INDEX($M$2:$M$1132,MATCH(B605,$B$2:$B$1132,0)),"")</f>
        <v>NETWORK SECURITY, ETHICAL HACKING, RISK ASSESSMENT</v>
      </c>
      <c r="N605" t="s">
        <v>74</v>
      </c>
      <c r="O605" t="s">
        <v>78</v>
      </c>
    </row>
    <row r="606" spans="1:15" x14ac:dyDescent="0.25">
      <c r="A606">
        <v>18454</v>
      </c>
      <c r="B606" t="s">
        <v>19</v>
      </c>
      <c r="C606" t="s">
        <v>26</v>
      </c>
      <c r="D606" t="str">
        <f>IFERROR(INDEX(Sheet2!$B$2:$B$1132,MATCH(Sheet1!C606,Sheet1!$C$2:$C$1132,0)),"IDK")</f>
        <v>FINANCE</v>
      </c>
      <c r="E606" t="s">
        <v>49</v>
      </c>
      <c r="F606" t="s">
        <v>53</v>
      </c>
      <c r="G606" s="1">
        <v>45370</v>
      </c>
      <c r="H606" t="s">
        <v>55</v>
      </c>
      <c r="I606" s="2" t="s">
        <v>88</v>
      </c>
      <c r="J606" s="2" t="s">
        <v>90</v>
      </c>
      <c r="K606">
        <f>IFERROR(INDEX(Sheet2!$C$2:$C$1132,MATCH(Sheet1!C606,Sheet1!$C$2:$C$1132,0)),"")</f>
        <v>35000</v>
      </c>
      <c r="L606">
        <f>IFERROR(INDEX(Sheet2!$D$2:$D$1132,MATCH(Sheet1!C606,$C$2:$C$1132,0)),"")</f>
        <v>75000</v>
      </c>
      <c r="M606" t="str">
        <f>IFERROR(INDEX($M$2:$M$1132,MATCH(B606,$B$2:$B$1132,0)),"")</f>
        <v>NETWORK SECURITY, ETHICAL HACKING, RISK ASSESSMENT</v>
      </c>
      <c r="N606" t="s">
        <v>74</v>
      </c>
      <c r="O606" t="s">
        <v>80</v>
      </c>
    </row>
    <row r="607" spans="1:15" x14ac:dyDescent="0.25">
      <c r="A607">
        <v>18455</v>
      </c>
      <c r="B607" t="s">
        <v>19</v>
      </c>
      <c r="C607" t="s">
        <v>27</v>
      </c>
      <c r="D607" t="str">
        <f>IFERROR(INDEX(Sheet2!$B$2:$B$1132,MATCH(Sheet1!C607,Sheet1!$C$2:$C$1132,0)),"IDK")</f>
        <v>IT</v>
      </c>
      <c r="E607" t="s">
        <v>49</v>
      </c>
      <c r="F607" t="s">
        <v>53</v>
      </c>
      <c r="G607" s="1">
        <v>45552</v>
      </c>
      <c r="H607" t="s">
        <v>55</v>
      </c>
      <c r="I607" s="2" t="s">
        <v>88</v>
      </c>
      <c r="J607" s="2" t="s">
        <v>91</v>
      </c>
      <c r="K607">
        <f>IFERROR(INDEX(Sheet2!$C$2:$C$1132,MATCH(Sheet1!C607,Sheet1!$C$2:$C$1132,0)),"")</f>
        <v>40000</v>
      </c>
      <c r="L607">
        <f>IFERROR(INDEX(Sheet2!$D$2:$D$1132,MATCH(Sheet1!C607,$C$2:$C$1132,0)),"")</f>
        <v>80000</v>
      </c>
      <c r="M607" t="str">
        <f>IFERROR(INDEX($M$2:$M$1132,MATCH(B607,$B$2:$B$1132,0)),"")</f>
        <v>NETWORK SECURITY, ETHICAL HACKING, RISK ASSESSMENT</v>
      </c>
      <c r="N607" t="s">
        <v>74</v>
      </c>
      <c r="O607" t="s">
        <v>79</v>
      </c>
    </row>
    <row r="608" spans="1:15" x14ac:dyDescent="0.25">
      <c r="A608">
        <v>18456</v>
      </c>
      <c r="B608" t="s">
        <v>19</v>
      </c>
      <c r="C608" t="s">
        <v>28</v>
      </c>
      <c r="D608" t="str">
        <f>IFERROR(INDEX(Sheet2!$B$2:$B$1132,MATCH(Sheet1!C608,Sheet1!$C$2:$C$1132,0)),"IDK")</f>
        <v>IT</v>
      </c>
      <c r="E608" t="s">
        <v>49</v>
      </c>
      <c r="F608" t="s">
        <v>53</v>
      </c>
      <c r="G608" s="1">
        <v>45589</v>
      </c>
      <c r="H608" t="s">
        <v>55</v>
      </c>
      <c r="I608" s="2" t="s">
        <v>92</v>
      </c>
      <c r="J608" s="2" t="s">
        <v>93</v>
      </c>
      <c r="K608">
        <f>IFERROR(INDEX(Sheet2!$C$2:$C$1132,MATCH(Sheet1!C608,Sheet1!$C$2:$C$1132,0)),"")</f>
        <v>30000</v>
      </c>
      <c r="L608">
        <f>IFERROR(INDEX(Sheet2!$D$2:$D$1132,MATCH(Sheet1!C608,$C$2:$C$1132,0)),"")</f>
        <v>55000</v>
      </c>
      <c r="M608" t="str">
        <f>IFERROR(INDEX($M$2:$M$1132,MATCH(B608,$B$2:$B$1132,0)),"")</f>
        <v>NETWORK SECURITY, ETHICAL HACKING, RISK ASSESSMENT</v>
      </c>
      <c r="N608" t="s">
        <v>74</v>
      </c>
      <c r="O608" t="s">
        <v>37</v>
      </c>
    </row>
    <row r="609" spans="1:15" x14ac:dyDescent="0.25">
      <c r="A609">
        <v>18457</v>
      </c>
      <c r="B609" t="s">
        <v>19</v>
      </c>
      <c r="C609" t="s">
        <v>29</v>
      </c>
      <c r="D609" t="str">
        <f>IFERROR(INDEX(Sheet2!$B$2:$B$1132,MATCH(Sheet1!C609,Sheet1!$C$2:$C$1132,0)),"IDK")</f>
        <v>IT</v>
      </c>
      <c r="E609" t="s">
        <v>49</v>
      </c>
      <c r="F609" t="s">
        <v>53</v>
      </c>
      <c r="G609" s="1">
        <v>45562</v>
      </c>
      <c r="H609" t="s">
        <v>55</v>
      </c>
      <c r="I609" s="2" t="s">
        <v>94</v>
      </c>
      <c r="J609" s="2" t="s">
        <v>95</v>
      </c>
      <c r="K609">
        <f>IFERROR(INDEX(Sheet2!$C$2:$C$1132,MATCH(Sheet1!C609,Sheet1!$C$2:$C$1132,0)),"")</f>
        <v>35000</v>
      </c>
      <c r="L609">
        <f>IFERROR(INDEX(Sheet2!$D$2:$D$1132,MATCH(Sheet1!C609,$C$2:$C$1132,0)),"")</f>
        <v>70000</v>
      </c>
      <c r="M609" t="str">
        <f>IFERROR(INDEX($M$2:$M$1132,MATCH(B609,$B$2:$B$1132,0)),"")</f>
        <v>NETWORK SECURITY, ETHICAL HACKING, RISK ASSESSMENT</v>
      </c>
      <c r="N609" t="s">
        <v>74</v>
      </c>
      <c r="O609" t="s">
        <v>78</v>
      </c>
    </row>
    <row r="610" spans="1:15" x14ac:dyDescent="0.25">
      <c r="A610">
        <v>18458</v>
      </c>
      <c r="B610" t="s">
        <v>19</v>
      </c>
      <c r="C610" t="s">
        <v>23</v>
      </c>
      <c r="D610" t="str">
        <f>IFERROR(INDEX(Sheet2!$B$2:$B$1132,MATCH(Sheet1!C610,Sheet1!$C$2:$C$1132,0)),"IDK")</f>
        <v>IT</v>
      </c>
      <c r="E610" t="s">
        <v>49</v>
      </c>
      <c r="F610" t="s">
        <v>53</v>
      </c>
      <c r="G610" s="1">
        <v>45399</v>
      </c>
      <c r="H610" t="s">
        <v>55</v>
      </c>
      <c r="I610" s="2" t="s">
        <v>96</v>
      </c>
      <c r="J610" s="2" t="s">
        <v>97</v>
      </c>
      <c r="K610">
        <f>IFERROR(INDEX(Sheet2!$C$2:$C$1132,MATCH(Sheet1!C610,Sheet1!$C$2:$C$1132,0)),"")</f>
        <v>35000</v>
      </c>
      <c r="L610">
        <f>IFERROR(INDEX(Sheet2!$D$2:$D$1132,MATCH(Sheet1!C610,$C$2:$C$1132,0)),"")</f>
        <v>70000</v>
      </c>
      <c r="M610" t="str">
        <f>IFERROR(INDEX($M$2:$M$1132,MATCH(B610,$B$2:$B$1132,0)),"")</f>
        <v>NETWORK SECURITY, ETHICAL HACKING, RISK ASSESSMENT</v>
      </c>
      <c r="N610" t="s">
        <v>74</v>
      </c>
      <c r="O610" t="s">
        <v>79</v>
      </c>
    </row>
    <row r="611" spans="1:15" x14ac:dyDescent="0.25">
      <c r="A611">
        <v>18459</v>
      </c>
      <c r="B611" t="s">
        <v>19</v>
      </c>
      <c r="C611" t="s">
        <v>30</v>
      </c>
      <c r="D611" t="str">
        <f>IFERROR(INDEX(Sheet2!$B$2:$B$1132,MATCH(Sheet1!C611,Sheet1!$C$2:$C$1132,0)),"IDK")</f>
        <v>IT</v>
      </c>
      <c r="E611" t="s">
        <v>49</v>
      </c>
      <c r="F611" t="s">
        <v>53</v>
      </c>
      <c r="G611" s="1">
        <v>45349</v>
      </c>
      <c r="H611" t="s">
        <v>55</v>
      </c>
      <c r="I611" s="2" t="s">
        <v>98</v>
      </c>
      <c r="J611" s="2" t="s">
        <v>99</v>
      </c>
      <c r="K611">
        <f>IFERROR(INDEX(Sheet2!$C$2:$C$1132,MATCH(Sheet1!C611,Sheet1!$C$2:$C$1132,0)),"")</f>
        <v>25000</v>
      </c>
      <c r="L611">
        <f>IFERROR(INDEX(Sheet2!$D$2:$D$1132,MATCH(Sheet1!C611,$C$2:$C$1132,0)),"")</f>
        <v>60000</v>
      </c>
      <c r="M611" t="str">
        <f>IFERROR(INDEX($M$2:$M$1132,MATCH(B611,$B$2:$B$1132,0)),"")</f>
        <v>NETWORK SECURITY, ETHICAL HACKING, RISK ASSESSMENT</v>
      </c>
      <c r="N611" t="s">
        <v>74</v>
      </c>
      <c r="O611" t="s">
        <v>80</v>
      </c>
    </row>
    <row r="612" spans="1:15" x14ac:dyDescent="0.25">
      <c r="A612">
        <v>18460</v>
      </c>
      <c r="B612" t="s">
        <v>19</v>
      </c>
      <c r="C612" t="s">
        <v>31</v>
      </c>
      <c r="D612" t="str">
        <f>IFERROR(INDEX(Sheet2!$B$2:$B$1132,MATCH(Sheet1!C612,Sheet1!$C$2:$C$1132,0)),"IDK")</f>
        <v>IT</v>
      </c>
      <c r="E612" t="s">
        <v>49</v>
      </c>
      <c r="F612" t="s">
        <v>53</v>
      </c>
      <c r="G612" s="1">
        <v>45534</v>
      </c>
      <c r="H612" t="s">
        <v>55</v>
      </c>
      <c r="I612" s="2" t="s">
        <v>100</v>
      </c>
      <c r="J612" s="2" t="s">
        <v>101</v>
      </c>
      <c r="K612">
        <f>IFERROR(INDEX(Sheet2!$C$2:$C$1132,MATCH(Sheet1!C612,Sheet1!$C$2:$C$1132,0)),"")</f>
        <v>25000</v>
      </c>
      <c r="L612">
        <f>IFERROR(INDEX(Sheet2!$D$2:$D$1132,MATCH(Sheet1!C612,$C$2:$C$1132,0)),"")</f>
        <v>75000</v>
      </c>
      <c r="M612" t="str">
        <f>IFERROR(INDEX($M$2:$M$1132,MATCH(B612,$B$2:$B$1132,0)),"")</f>
        <v>NETWORK SECURITY, ETHICAL HACKING, RISK ASSESSMENT</v>
      </c>
      <c r="N612" t="s">
        <v>74</v>
      </c>
      <c r="O612" t="s">
        <v>77</v>
      </c>
    </row>
    <row r="613" spans="1:15" x14ac:dyDescent="0.25">
      <c r="A613">
        <v>18461</v>
      </c>
      <c r="B613" t="s">
        <v>19</v>
      </c>
      <c r="C613" t="s">
        <v>32</v>
      </c>
      <c r="D613" t="str">
        <f>IFERROR(INDEX(Sheet2!$B$2:$B$1132,MATCH(Sheet1!C613,Sheet1!$C$2:$C$1132,0)),"IDK")</f>
        <v>SOCIAL</v>
      </c>
      <c r="E613" t="s">
        <v>49</v>
      </c>
      <c r="F613" t="s">
        <v>53</v>
      </c>
      <c r="G613" s="1">
        <v>45641</v>
      </c>
      <c r="H613" t="s">
        <v>55</v>
      </c>
      <c r="I613" s="2" t="s">
        <v>102</v>
      </c>
      <c r="J613" s="2" t="s">
        <v>103</v>
      </c>
      <c r="K613">
        <f>IFERROR(INDEX(Sheet2!$C$2:$C$1132,MATCH(Sheet1!C613,Sheet1!$C$2:$C$1132,0)),"")</f>
        <v>20000</v>
      </c>
      <c r="L613">
        <f>IFERROR(INDEX(Sheet2!$D$2:$D$1132,MATCH(Sheet1!C613,$C$2:$C$1132,0)),"")</f>
        <v>70000</v>
      </c>
      <c r="M613" t="str">
        <f>IFERROR(INDEX($M$2:$M$1132,MATCH(B613,$B$2:$B$1132,0)),"")</f>
        <v>NETWORK SECURITY, ETHICAL HACKING, RISK ASSESSMENT</v>
      </c>
      <c r="N613" t="s">
        <v>75</v>
      </c>
      <c r="O613" t="s">
        <v>79</v>
      </c>
    </row>
    <row r="614" spans="1:15" x14ac:dyDescent="0.25">
      <c r="A614">
        <v>18462</v>
      </c>
      <c r="B614" t="s">
        <v>19</v>
      </c>
      <c r="C614" t="s">
        <v>33</v>
      </c>
      <c r="D614" t="str">
        <f>IFERROR(INDEX(Sheet2!$B$2:$B$1132,MATCH(Sheet1!C614,Sheet1!$C$2:$C$1132,0)),"IDK")</f>
        <v>FINANCE</v>
      </c>
      <c r="E614" t="s">
        <v>49</v>
      </c>
      <c r="F614" t="s">
        <v>53</v>
      </c>
      <c r="G614" s="1">
        <v>45361</v>
      </c>
      <c r="H614" t="s">
        <v>55</v>
      </c>
      <c r="I614" s="2" t="s">
        <v>104</v>
      </c>
      <c r="J614" s="2" t="s">
        <v>105</v>
      </c>
      <c r="K614">
        <f>IFERROR(INDEX(Sheet2!$C$2:$C$1132,MATCH(Sheet1!C614,Sheet1!$C$2:$C$1132,0)),"")</f>
        <v>40000</v>
      </c>
      <c r="L614">
        <f>IFERROR(INDEX(Sheet2!$D$2:$D$1132,MATCH(Sheet1!C614,$C$2:$C$1132,0)),"")</f>
        <v>85000</v>
      </c>
      <c r="M614" t="str">
        <f>IFERROR(INDEX($M$2:$M$1132,MATCH(B614,$B$2:$B$1132,0)),"")</f>
        <v>NETWORK SECURITY, ETHICAL HACKING, RISK ASSESSMENT</v>
      </c>
      <c r="N614" t="s">
        <v>75</v>
      </c>
      <c r="O614" t="s">
        <v>37</v>
      </c>
    </row>
    <row r="615" spans="1:15" x14ac:dyDescent="0.25">
      <c r="A615">
        <v>18463</v>
      </c>
      <c r="B615" t="s">
        <v>19</v>
      </c>
      <c r="C615" t="s">
        <v>34</v>
      </c>
      <c r="D615" t="str">
        <f>IFERROR(INDEX(Sheet2!$B$2:$B$1132,MATCH(Sheet1!C615,Sheet1!$C$2:$C$1132,0)),"IDK")</f>
        <v>IT</v>
      </c>
      <c r="E615" t="s">
        <v>48</v>
      </c>
      <c r="F615" t="s">
        <v>53</v>
      </c>
      <c r="G615" s="1">
        <v>45582</v>
      </c>
      <c r="H615" t="s">
        <v>55</v>
      </c>
      <c r="I615" s="2" t="s">
        <v>88</v>
      </c>
      <c r="J615" s="2" t="s">
        <v>90</v>
      </c>
      <c r="K615">
        <f>IFERROR(INDEX(Sheet2!$C$2:$C$1132,MATCH(Sheet1!C615,Sheet1!$C$2:$C$1132,0)),"")</f>
        <v>35000</v>
      </c>
      <c r="L615">
        <f>IFERROR(INDEX(Sheet2!$D$2:$D$1132,MATCH(Sheet1!C615,$C$2:$C$1132,0)),"")</f>
        <v>90000</v>
      </c>
      <c r="M615" t="str">
        <f>IFERROR(INDEX($M$2:$M$1132,MATCH(B615,$B$2:$B$1132,0)),"")</f>
        <v>NETWORK SECURITY, ETHICAL HACKING, RISK ASSESSMENT</v>
      </c>
      <c r="N615" t="s">
        <v>75</v>
      </c>
      <c r="O615" t="s">
        <v>78</v>
      </c>
    </row>
    <row r="616" spans="1:15" x14ac:dyDescent="0.25">
      <c r="A616">
        <v>18464</v>
      </c>
      <c r="B616" t="s">
        <v>19</v>
      </c>
      <c r="C616" t="s">
        <v>35</v>
      </c>
      <c r="D616" t="str">
        <f>IFERROR(INDEX(Sheet2!$B$2:$B$1132,MATCH(Sheet1!C616,Sheet1!$C$2:$C$1132,0)),"IDK")</f>
        <v>SOCIAL</v>
      </c>
      <c r="E616" t="s">
        <v>48</v>
      </c>
      <c r="F616" t="s">
        <v>53</v>
      </c>
      <c r="G616" s="1">
        <v>45594</v>
      </c>
      <c r="H616" t="s">
        <v>55</v>
      </c>
      <c r="I616" s="2" t="s">
        <v>86</v>
      </c>
      <c r="J616" s="2" t="s">
        <v>87</v>
      </c>
      <c r="K616">
        <f>IFERROR(INDEX(Sheet2!$C$2:$C$1132,MATCH(Sheet1!C616,Sheet1!$C$2:$C$1132,0)),"")</f>
        <v>30000</v>
      </c>
      <c r="L616">
        <f>IFERROR(INDEX(Sheet2!$D$2:$D$1132,MATCH(Sheet1!C616,$C$2:$C$1132,0)),"")</f>
        <v>95000</v>
      </c>
      <c r="M616" t="str">
        <f>IFERROR(INDEX($M$2:$M$1132,MATCH(B616,$B$2:$B$1132,0)),"")</f>
        <v>NETWORK SECURITY, ETHICAL HACKING, RISK ASSESSMENT</v>
      </c>
      <c r="N616" t="s">
        <v>75</v>
      </c>
      <c r="O616" t="s">
        <v>80</v>
      </c>
    </row>
    <row r="617" spans="1:15" x14ac:dyDescent="0.25">
      <c r="A617">
        <v>18465</v>
      </c>
      <c r="B617" t="s">
        <v>19</v>
      </c>
      <c r="C617" t="s">
        <v>36</v>
      </c>
      <c r="D617" t="str">
        <f>IFERROR(INDEX(Sheet2!$B$2:$B$1132,MATCH(Sheet1!C617,Sheet1!$C$2:$C$1132,0)),"IDK")</f>
        <v>IT</v>
      </c>
      <c r="E617" t="s">
        <v>48</v>
      </c>
      <c r="F617" t="s">
        <v>53</v>
      </c>
      <c r="G617" s="1">
        <v>45334</v>
      </c>
      <c r="H617" t="s">
        <v>55</v>
      </c>
      <c r="I617" s="2" t="s">
        <v>92</v>
      </c>
      <c r="J617" s="2" t="s">
        <v>93</v>
      </c>
      <c r="K617">
        <f>IFERROR(INDEX(Sheet2!$C$2:$C$1132,MATCH(Sheet1!C617,Sheet1!$C$2:$C$1132,0)),"")</f>
        <v>50000</v>
      </c>
      <c r="L617">
        <f>IFERROR(INDEX(Sheet2!$D$2:$D$1132,MATCH(Sheet1!C617,$C$2:$C$1132,0)),"")</f>
        <v>100000</v>
      </c>
      <c r="M617" t="str">
        <f>IFERROR(INDEX($M$2:$M$1132,MATCH(B617,$B$2:$B$1132,0)),"")</f>
        <v>NETWORK SECURITY, ETHICAL HACKING, RISK ASSESSMENT</v>
      </c>
      <c r="N617" t="s">
        <v>75</v>
      </c>
      <c r="O617" t="s">
        <v>79</v>
      </c>
    </row>
    <row r="618" spans="1:15" x14ac:dyDescent="0.25">
      <c r="A618">
        <v>18466</v>
      </c>
      <c r="B618" t="s">
        <v>19</v>
      </c>
      <c r="C618" t="s">
        <v>27</v>
      </c>
      <c r="D618" t="str">
        <f>IFERROR(INDEX(Sheet2!$B$2:$B$1132,MATCH(Sheet1!C618,Sheet1!$C$2:$C$1132,0)),"IDK")</f>
        <v>IT</v>
      </c>
      <c r="E618" t="s">
        <v>48</v>
      </c>
      <c r="F618" t="s">
        <v>53</v>
      </c>
      <c r="G618" s="1">
        <v>45638</v>
      </c>
      <c r="H618" t="s">
        <v>55</v>
      </c>
      <c r="I618" s="2" t="s">
        <v>96</v>
      </c>
      <c r="J618" s="2" t="s">
        <v>97</v>
      </c>
      <c r="K618">
        <f>IFERROR(INDEX(Sheet2!$C$2:$C$1132,MATCH(Sheet1!C618,Sheet1!$C$2:$C$1132,0)),"")</f>
        <v>40000</v>
      </c>
      <c r="L618">
        <f>IFERROR(INDEX(Sheet2!$D$2:$D$1132,MATCH(Sheet1!C618,$C$2:$C$1132,0)),"")</f>
        <v>80000</v>
      </c>
      <c r="M618" t="str">
        <f>IFERROR(INDEX($M$2:$M$1132,MATCH(B618,$B$2:$B$1132,0)),"")</f>
        <v>NETWORK SECURITY, ETHICAL HACKING, RISK ASSESSMENT</v>
      </c>
      <c r="N618" t="s">
        <v>75</v>
      </c>
      <c r="O618" t="s">
        <v>37</v>
      </c>
    </row>
    <row r="619" spans="1:15" x14ac:dyDescent="0.25">
      <c r="A619">
        <v>18467</v>
      </c>
      <c r="B619" t="s">
        <v>19</v>
      </c>
      <c r="C619" t="s">
        <v>28</v>
      </c>
      <c r="D619" t="str">
        <f>IFERROR(INDEX(Sheet2!$B$2:$B$1132,MATCH(Sheet1!C619,Sheet1!$C$2:$C$1132,0)),"IDK")</f>
        <v>IT</v>
      </c>
      <c r="E619" t="s">
        <v>48</v>
      </c>
      <c r="F619" t="s">
        <v>53</v>
      </c>
      <c r="G619" s="1">
        <v>45575</v>
      </c>
      <c r="H619" t="s">
        <v>55</v>
      </c>
      <c r="I619" s="2" t="s">
        <v>98</v>
      </c>
      <c r="J619" s="2" t="s">
        <v>99</v>
      </c>
      <c r="K619">
        <f>IFERROR(INDEX(Sheet2!$C$2:$C$1132,MATCH(Sheet1!C619,Sheet1!$C$2:$C$1132,0)),"")</f>
        <v>30000</v>
      </c>
      <c r="L619">
        <f>IFERROR(INDEX(Sheet2!$D$2:$D$1132,MATCH(Sheet1!C619,$C$2:$C$1132,0)),"")</f>
        <v>55000</v>
      </c>
      <c r="M619" t="str">
        <f>IFERROR(INDEX($M$2:$M$1132,MATCH(B619,$B$2:$B$1132,0)),"")</f>
        <v>NETWORK SECURITY, ETHICAL HACKING, RISK ASSESSMENT</v>
      </c>
      <c r="N619" t="s">
        <v>75</v>
      </c>
      <c r="O619" t="s">
        <v>78</v>
      </c>
    </row>
    <row r="620" spans="1:15" x14ac:dyDescent="0.25">
      <c r="A620">
        <v>18468</v>
      </c>
      <c r="B620" t="s">
        <v>19</v>
      </c>
      <c r="C620" t="s">
        <v>29</v>
      </c>
      <c r="D620" t="str">
        <f>IFERROR(INDEX(Sheet2!$B$2:$B$1132,MATCH(Sheet1!C620,Sheet1!$C$2:$C$1132,0)),"IDK")</f>
        <v>IT</v>
      </c>
      <c r="E620" t="s">
        <v>48</v>
      </c>
      <c r="F620" t="s">
        <v>53</v>
      </c>
      <c r="G620" s="1">
        <v>45624</v>
      </c>
      <c r="H620" t="s">
        <v>55</v>
      </c>
      <c r="I620" s="2" t="s">
        <v>82</v>
      </c>
      <c r="J620" s="2" t="s">
        <v>83</v>
      </c>
      <c r="K620">
        <f>IFERROR(INDEX(Sheet2!$C$2:$C$1132,MATCH(Sheet1!C620,Sheet1!$C$2:$C$1132,0)),"")</f>
        <v>35000</v>
      </c>
      <c r="L620">
        <f>IFERROR(INDEX(Sheet2!$D$2:$D$1132,MATCH(Sheet1!C620,$C$2:$C$1132,0)),"")</f>
        <v>70000</v>
      </c>
      <c r="M620" t="str">
        <f>IFERROR(INDEX($M$2:$M$1132,MATCH(B620,$B$2:$B$1132,0)),"")</f>
        <v>NETWORK SECURITY, ETHICAL HACKING, RISK ASSESSMENT</v>
      </c>
      <c r="N620" t="s">
        <v>75</v>
      </c>
      <c r="O620" t="s">
        <v>79</v>
      </c>
    </row>
    <row r="621" spans="1:15" x14ac:dyDescent="0.25">
      <c r="A621">
        <v>18469</v>
      </c>
      <c r="B621" t="s">
        <v>19</v>
      </c>
      <c r="C621" t="s">
        <v>23</v>
      </c>
      <c r="D621" t="str">
        <f>IFERROR(INDEX(Sheet2!$B$2:$B$1132,MATCH(Sheet1!C621,Sheet1!$C$2:$C$1132,0)),"IDK")</f>
        <v>IT</v>
      </c>
      <c r="E621" t="s">
        <v>48</v>
      </c>
      <c r="F621" t="s">
        <v>53</v>
      </c>
      <c r="G621" s="1">
        <v>45412</v>
      </c>
      <c r="H621" t="s">
        <v>55</v>
      </c>
      <c r="I621" s="2" t="s">
        <v>82</v>
      </c>
      <c r="J621" s="2" t="s">
        <v>84</v>
      </c>
      <c r="K621">
        <f>IFERROR(INDEX(Sheet2!$C$2:$C$1132,MATCH(Sheet1!C621,Sheet1!$C$2:$C$1132,0)),"")</f>
        <v>35000</v>
      </c>
      <c r="L621">
        <f>IFERROR(INDEX(Sheet2!$D$2:$D$1132,MATCH(Sheet1!C621,$C$2:$C$1132,0)),"")</f>
        <v>70000</v>
      </c>
      <c r="M621" t="str">
        <f>IFERROR(INDEX($M$2:$M$1132,MATCH(B621,$B$2:$B$1132,0)),"")</f>
        <v>NETWORK SECURITY, ETHICAL HACKING, RISK ASSESSMENT</v>
      </c>
      <c r="N621" t="s">
        <v>75</v>
      </c>
      <c r="O621" t="s">
        <v>80</v>
      </c>
    </row>
    <row r="622" spans="1:15" x14ac:dyDescent="0.25">
      <c r="A622">
        <v>18470</v>
      </c>
      <c r="B622" t="s">
        <v>19</v>
      </c>
      <c r="C622" t="s">
        <v>30</v>
      </c>
      <c r="D622" t="str">
        <f>IFERROR(INDEX(Sheet2!$B$2:$B$1132,MATCH(Sheet1!C622,Sheet1!$C$2:$C$1132,0)),"IDK")</f>
        <v>IT</v>
      </c>
      <c r="E622" t="s">
        <v>48</v>
      </c>
      <c r="F622" t="s">
        <v>53</v>
      </c>
      <c r="G622" s="1">
        <v>45404</v>
      </c>
      <c r="H622" t="s">
        <v>55</v>
      </c>
      <c r="I622" s="2" t="s">
        <v>82</v>
      </c>
      <c r="J622" s="2" t="s">
        <v>85</v>
      </c>
      <c r="K622">
        <f>IFERROR(INDEX(Sheet2!$C$2:$C$1132,MATCH(Sheet1!C622,Sheet1!$C$2:$C$1132,0)),"")</f>
        <v>25000</v>
      </c>
      <c r="L622">
        <f>IFERROR(INDEX(Sheet2!$D$2:$D$1132,MATCH(Sheet1!C622,$C$2:$C$1132,0)),"")</f>
        <v>60000</v>
      </c>
      <c r="M622" t="str">
        <f>IFERROR(INDEX($M$2:$M$1132,MATCH(B622,$B$2:$B$1132,0)),"")</f>
        <v>NETWORK SECURITY, ETHICAL HACKING, RISK ASSESSMENT</v>
      </c>
      <c r="N622" t="s">
        <v>76</v>
      </c>
      <c r="O622" t="s">
        <v>78</v>
      </c>
    </row>
    <row r="623" spans="1:15" x14ac:dyDescent="0.25">
      <c r="A623">
        <v>18471</v>
      </c>
      <c r="B623" t="s">
        <v>19</v>
      </c>
      <c r="C623" t="s">
        <v>31</v>
      </c>
      <c r="D623" t="str">
        <f>IFERROR(INDEX(Sheet2!$B$2:$B$1132,MATCH(Sheet1!C623,Sheet1!$C$2:$C$1132,0)),"IDK")</f>
        <v>IT</v>
      </c>
      <c r="E623" t="s">
        <v>48</v>
      </c>
      <c r="F623" t="s">
        <v>53</v>
      </c>
      <c r="G623" s="1">
        <v>45378</v>
      </c>
      <c r="H623" t="s">
        <v>55</v>
      </c>
      <c r="I623" s="2" t="s">
        <v>86</v>
      </c>
      <c r="J623" s="2" t="s">
        <v>87</v>
      </c>
      <c r="K623">
        <f>IFERROR(INDEX(Sheet2!$C$2:$C$1132,MATCH(Sheet1!C623,Sheet1!$C$2:$C$1132,0)),"")</f>
        <v>25000</v>
      </c>
      <c r="L623">
        <f>IFERROR(INDEX(Sheet2!$D$2:$D$1132,MATCH(Sheet1!C623,$C$2:$C$1132,0)),"")</f>
        <v>75000</v>
      </c>
      <c r="M623" t="str">
        <f>IFERROR(INDEX($M$2:$M$1132,MATCH(B623,$B$2:$B$1132,0)),"")</f>
        <v>NETWORK SECURITY, ETHICAL HACKING, RISK ASSESSMENT</v>
      </c>
      <c r="N623" t="s">
        <v>76</v>
      </c>
      <c r="O623" t="s">
        <v>80</v>
      </c>
    </row>
    <row r="624" spans="1:15" x14ac:dyDescent="0.25">
      <c r="A624">
        <v>18472</v>
      </c>
      <c r="B624" t="s">
        <v>19</v>
      </c>
      <c r="C624" t="s">
        <v>32</v>
      </c>
      <c r="D624" t="str">
        <f>IFERROR(INDEX(Sheet2!$B$2:$B$1132,MATCH(Sheet1!C624,Sheet1!$C$2:$C$1132,0)),"IDK")</f>
        <v>SOCIAL</v>
      </c>
      <c r="E624" t="s">
        <v>48</v>
      </c>
      <c r="F624" t="s">
        <v>53</v>
      </c>
      <c r="G624" s="1">
        <v>45436</v>
      </c>
      <c r="H624" t="s">
        <v>55</v>
      </c>
      <c r="I624" s="2" t="s">
        <v>88</v>
      </c>
      <c r="J624" s="2" t="s">
        <v>89</v>
      </c>
      <c r="K624">
        <f>IFERROR(INDEX(Sheet2!$C$2:$C$1132,MATCH(Sheet1!C624,Sheet1!$C$2:$C$1132,0)),"")</f>
        <v>20000</v>
      </c>
      <c r="L624">
        <f>IFERROR(INDEX(Sheet2!$D$2:$D$1132,MATCH(Sheet1!C624,$C$2:$C$1132,0)),"")</f>
        <v>70000</v>
      </c>
      <c r="M624" t="str">
        <f>IFERROR(INDEX($M$2:$M$1132,MATCH(B624,$B$2:$B$1132,0)),"")</f>
        <v>NETWORK SECURITY, ETHICAL HACKING, RISK ASSESSMENT</v>
      </c>
      <c r="N624" t="s">
        <v>76</v>
      </c>
      <c r="O624" t="s">
        <v>79</v>
      </c>
    </row>
    <row r="625" spans="1:15" x14ac:dyDescent="0.25">
      <c r="A625">
        <v>18473</v>
      </c>
      <c r="B625" t="s">
        <v>19</v>
      </c>
      <c r="C625" t="s">
        <v>33</v>
      </c>
      <c r="D625" t="str">
        <f>IFERROR(INDEX(Sheet2!$B$2:$B$1132,MATCH(Sheet1!C625,Sheet1!$C$2:$C$1132,0)),"IDK")</f>
        <v>FINANCE</v>
      </c>
      <c r="E625" t="s">
        <v>48</v>
      </c>
      <c r="F625" t="s">
        <v>53</v>
      </c>
      <c r="G625" s="1">
        <v>45375</v>
      </c>
      <c r="H625" t="s">
        <v>55</v>
      </c>
      <c r="I625" s="2" t="s">
        <v>88</v>
      </c>
      <c r="J625" s="2" t="s">
        <v>90</v>
      </c>
      <c r="K625">
        <f>IFERROR(INDEX(Sheet2!$C$2:$C$1132,MATCH(Sheet1!C625,Sheet1!$C$2:$C$1132,0)),"")</f>
        <v>40000</v>
      </c>
      <c r="L625">
        <f>IFERROR(INDEX(Sheet2!$D$2:$D$1132,MATCH(Sheet1!C625,$C$2:$C$1132,0)),"")</f>
        <v>85000</v>
      </c>
      <c r="M625" t="str">
        <f>IFERROR(INDEX($M$2:$M$1132,MATCH(B625,$B$2:$B$1132,0)),"")</f>
        <v>NETWORK SECURITY, ETHICAL HACKING, RISK ASSESSMENT</v>
      </c>
      <c r="N625" t="s">
        <v>76</v>
      </c>
      <c r="O625" t="s">
        <v>37</v>
      </c>
    </row>
    <row r="626" spans="1:15" x14ac:dyDescent="0.25">
      <c r="A626">
        <v>18474</v>
      </c>
      <c r="B626" t="s">
        <v>19</v>
      </c>
      <c r="C626" t="s">
        <v>23</v>
      </c>
      <c r="D626" t="str">
        <f>IFERROR(INDEX(Sheet2!$B$2:$B$1132,MATCH(Sheet1!C626,Sheet1!$C$2:$C$1132,0)),"IDK")</f>
        <v>IT</v>
      </c>
      <c r="E626" t="s">
        <v>48</v>
      </c>
      <c r="F626" t="s">
        <v>53</v>
      </c>
      <c r="G626" s="1">
        <v>45304</v>
      </c>
      <c r="H626" t="s">
        <v>55</v>
      </c>
      <c r="I626" s="2" t="s">
        <v>88</v>
      </c>
      <c r="J626" s="2" t="s">
        <v>91</v>
      </c>
      <c r="K626">
        <f>IFERROR(INDEX(Sheet2!$C$2:$C$1132,MATCH(Sheet1!C626,Sheet1!$C$2:$C$1132,0)),"")</f>
        <v>35000</v>
      </c>
      <c r="L626">
        <f>IFERROR(INDEX(Sheet2!$D$2:$D$1132,MATCH(Sheet1!C626,$C$2:$C$1132,0)),"")</f>
        <v>70000</v>
      </c>
      <c r="M626" t="str">
        <f>IFERROR(INDEX($M$2:$M$1132,MATCH(B626,$B$2:$B$1132,0)),"")</f>
        <v>NETWORK SECURITY, ETHICAL HACKING, RISK ASSESSMENT</v>
      </c>
      <c r="N626" t="s">
        <v>76</v>
      </c>
      <c r="O626" t="s">
        <v>77</v>
      </c>
    </row>
    <row r="627" spans="1:15" x14ac:dyDescent="0.25">
      <c r="A627">
        <v>18475</v>
      </c>
      <c r="B627" t="s">
        <v>14</v>
      </c>
      <c r="C627" t="s">
        <v>24</v>
      </c>
      <c r="D627" t="str">
        <f>IFERROR(INDEX(Sheet2!$B$2:$B$1132,MATCH(Sheet1!C627,Sheet1!$C$2:$C$1132,0)),"IDK")</f>
        <v>HEALTH</v>
      </c>
      <c r="E627" t="s">
        <v>48</v>
      </c>
      <c r="F627" t="s">
        <v>53</v>
      </c>
      <c r="G627" s="1">
        <v>45501</v>
      </c>
      <c r="H627" t="s">
        <v>55</v>
      </c>
      <c r="I627" s="2" t="s">
        <v>92</v>
      </c>
      <c r="J627" s="2" t="s">
        <v>93</v>
      </c>
      <c r="K627">
        <f>IFERROR(INDEX(Sheet2!$C$2:$C$1132,MATCH(Sheet1!C627,Sheet1!$C$2:$C$1132,0)),"")</f>
        <v>25000</v>
      </c>
      <c r="L627">
        <f>IFERROR(INDEX(Sheet2!$D$2:$D$1132,MATCH(Sheet1!C627,$C$2:$C$1132,0)),"")</f>
        <v>50000</v>
      </c>
      <c r="M627" t="str">
        <f>IFERROR(INDEX($M$2:$M$1132,MATCH(B627,$B$2:$B$1132,0)),"")</f>
        <v>SQL, EXCEL, POWERBI, TABLEAU</v>
      </c>
      <c r="N627" t="s">
        <v>76</v>
      </c>
      <c r="O627" t="s">
        <v>77</v>
      </c>
    </row>
    <row r="628" spans="1:15" x14ac:dyDescent="0.25">
      <c r="A628">
        <v>18476</v>
      </c>
      <c r="B628" t="s">
        <v>14</v>
      </c>
      <c r="C628" t="s">
        <v>25</v>
      </c>
      <c r="D628" t="str">
        <f>IFERROR(INDEX(Sheet2!$B$2:$B$1132,MATCH(Sheet1!C628,Sheet1!$C$2:$C$1132,0)),"IDK")</f>
        <v>SOCIAL</v>
      </c>
      <c r="E628" t="s">
        <v>48</v>
      </c>
      <c r="F628" t="s">
        <v>53</v>
      </c>
      <c r="G628" s="1">
        <v>45461</v>
      </c>
      <c r="H628" t="s">
        <v>55</v>
      </c>
      <c r="I628" s="2" t="s">
        <v>94</v>
      </c>
      <c r="J628" s="2" t="s">
        <v>95</v>
      </c>
      <c r="K628">
        <f>IFERROR(INDEX(Sheet2!$C$2:$C$1132,MATCH(Sheet1!C628,Sheet1!$C$2:$C$1132,0)),"")</f>
        <v>30000</v>
      </c>
      <c r="L628">
        <f>IFERROR(INDEX(Sheet2!$D$2:$D$1132,MATCH(Sheet1!C628,$C$2:$C$1132,0)),"")</f>
        <v>60000</v>
      </c>
      <c r="M628" t="str">
        <f>IFERROR(INDEX($M$2:$M$1132,MATCH(B628,$B$2:$B$1132,0)),"")</f>
        <v>SQL, EXCEL, POWERBI, TABLEAU</v>
      </c>
      <c r="N628" t="s">
        <v>76</v>
      </c>
      <c r="O628" t="s">
        <v>77</v>
      </c>
    </row>
    <row r="629" spans="1:15" x14ac:dyDescent="0.25">
      <c r="A629">
        <v>18477</v>
      </c>
      <c r="B629" t="s">
        <v>14</v>
      </c>
      <c r="C629" t="s">
        <v>26</v>
      </c>
      <c r="D629" t="str">
        <f>IFERROR(INDEX(Sheet2!$B$2:$B$1132,MATCH(Sheet1!C629,Sheet1!$C$2:$C$1132,0)),"IDK")</f>
        <v>FINANCE</v>
      </c>
      <c r="E629" t="s">
        <v>48</v>
      </c>
      <c r="F629" t="s">
        <v>53</v>
      </c>
      <c r="G629" s="1">
        <v>45298</v>
      </c>
      <c r="H629" t="s">
        <v>55</v>
      </c>
      <c r="I629" s="2" t="s">
        <v>96</v>
      </c>
      <c r="J629" s="2" t="s">
        <v>97</v>
      </c>
      <c r="K629">
        <f>IFERROR(INDEX(Sheet2!$C$2:$C$1132,MATCH(Sheet1!C629,Sheet1!$C$2:$C$1132,0)),"")</f>
        <v>35000</v>
      </c>
      <c r="L629">
        <f>IFERROR(INDEX(Sheet2!$D$2:$D$1132,MATCH(Sheet1!C629,$C$2:$C$1132,0)),"")</f>
        <v>75000</v>
      </c>
      <c r="M629" t="str">
        <f>IFERROR(INDEX($M$2:$M$1132,MATCH(B629,$B$2:$B$1132,0)),"")</f>
        <v>SQL, EXCEL, POWERBI, TABLEAU</v>
      </c>
      <c r="N629" t="s">
        <v>74</v>
      </c>
      <c r="O629" t="s">
        <v>77</v>
      </c>
    </row>
    <row r="630" spans="1:15" x14ac:dyDescent="0.25">
      <c r="A630">
        <v>18478</v>
      </c>
      <c r="B630" t="s">
        <v>14</v>
      </c>
      <c r="C630" t="s">
        <v>37</v>
      </c>
      <c r="D630" t="s">
        <v>43</v>
      </c>
      <c r="E630" t="s">
        <v>48</v>
      </c>
      <c r="F630" t="s">
        <v>53</v>
      </c>
      <c r="G630" s="1">
        <v>45495</v>
      </c>
      <c r="H630" t="s">
        <v>55</v>
      </c>
      <c r="I630" s="2" t="s">
        <v>98</v>
      </c>
      <c r="J630" s="2" t="s">
        <v>99</v>
      </c>
      <c r="K630">
        <v>45000</v>
      </c>
      <c r="L630">
        <v>90000</v>
      </c>
      <c r="M630" t="str">
        <f>IFERROR(INDEX($M$2:$M$1132,MATCH(B630,$B$2:$B$1132,0)),"")</f>
        <v>SQL, EXCEL, POWERBI, TABLEAU</v>
      </c>
      <c r="N630" t="s">
        <v>74</v>
      </c>
      <c r="O630" t="s">
        <v>78</v>
      </c>
    </row>
    <row r="631" spans="1:15" x14ac:dyDescent="0.25">
      <c r="A631">
        <v>18479</v>
      </c>
      <c r="B631" t="s">
        <v>14</v>
      </c>
      <c r="C631" t="s">
        <v>38</v>
      </c>
      <c r="D631" t="s">
        <v>42</v>
      </c>
      <c r="E631" t="s">
        <v>48</v>
      </c>
      <c r="F631" t="s">
        <v>53</v>
      </c>
      <c r="G631" s="1">
        <v>45623</v>
      </c>
      <c r="H631" t="s">
        <v>55</v>
      </c>
      <c r="I631" s="2" t="s">
        <v>100</v>
      </c>
      <c r="J631" s="2" t="s">
        <v>101</v>
      </c>
      <c r="K631">
        <v>20000</v>
      </c>
      <c r="L631">
        <v>80000</v>
      </c>
      <c r="M631" t="str">
        <f>IFERROR(INDEX($M$2:$M$1132,MATCH(B631,$B$2:$B$1132,0)),"")</f>
        <v>SQL, EXCEL, POWERBI, TABLEAU</v>
      </c>
      <c r="N631" t="s">
        <v>74</v>
      </c>
      <c r="O631" t="s">
        <v>80</v>
      </c>
    </row>
    <row r="632" spans="1:15" x14ac:dyDescent="0.25">
      <c r="A632">
        <v>18480</v>
      </c>
      <c r="B632" t="s">
        <v>14</v>
      </c>
      <c r="C632" t="s">
        <v>39</v>
      </c>
      <c r="D632" t="s">
        <v>42</v>
      </c>
      <c r="E632" t="s">
        <v>48</v>
      </c>
      <c r="F632" t="s">
        <v>53</v>
      </c>
      <c r="G632" s="1">
        <v>45619</v>
      </c>
      <c r="H632" t="s">
        <v>55</v>
      </c>
      <c r="I632" s="2" t="s">
        <v>102</v>
      </c>
      <c r="J632" s="2" t="s">
        <v>103</v>
      </c>
      <c r="K632">
        <v>25000</v>
      </c>
      <c r="L632">
        <v>85000</v>
      </c>
      <c r="M632" t="str">
        <f>IFERROR(INDEX($M$2:$M$1132,MATCH(B632,$B$2:$B$1132,0)),"")</f>
        <v>SQL, EXCEL, POWERBI, TABLEAU</v>
      </c>
      <c r="N632" t="s">
        <v>74</v>
      </c>
      <c r="O632" t="s">
        <v>79</v>
      </c>
    </row>
    <row r="633" spans="1:15" x14ac:dyDescent="0.25">
      <c r="A633">
        <v>18481</v>
      </c>
      <c r="B633" t="s">
        <v>14</v>
      </c>
      <c r="C633" t="s">
        <v>23</v>
      </c>
      <c r="D633" t="str">
        <f>IFERROR(INDEX(Sheet2!$B$2:$B$1132,MATCH(Sheet1!C633,Sheet1!$C$2:$C$1132,0)),"IDK")</f>
        <v>IT</v>
      </c>
      <c r="E633" t="s">
        <v>48</v>
      </c>
      <c r="F633" t="s">
        <v>53</v>
      </c>
      <c r="G633" s="1">
        <v>45417</v>
      </c>
      <c r="H633" t="s">
        <v>55</v>
      </c>
      <c r="I633" s="2" t="s">
        <v>104</v>
      </c>
      <c r="J633" s="2" t="s">
        <v>105</v>
      </c>
      <c r="K633">
        <f>IFERROR(INDEX(Sheet2!$C$2:$C$1132,MATCH(Sheet1!C633,Sheet1!$C$2:$C$1132,0)),"")</f>
        <v>35000</v>
      </c>
      <c r="L633">
        <f>IFERROR(INDEX(Sheet2!$D$2:$D$1132,MATCH(Sheet1!C633,$C$2:$C$1132,0)),"")</f>
        <v>70000</v>
      </c>
      <c r="M633" t="str">
        <f>IFERROR(INDEX($M$2:$M$1132,MATCH(B633,$B$2:$B$1132,0)),"")</f>
        <v>SQL, EXCEL, POWERBI, TABLEAU</v>
      </c>
      <c r="N633" t="s">
        <v>74</v>
      </c>
      <c r="O633" t="s">
        <v>37</v>
      </c>
    </row>
    <row r="634" spans="1:15" x14ac:dyDescent="0.25">
      <c r="A634">
        <v>18482</v>
      </c>
      <c r="B634" t="s">
        <v>14</v>
      </c>
      <c r="C634" t="s">
        <v>30</v>
      </c>
      <c r="D634" t="str">
        <f>IFERROR(INDEX(Sheet2!$B$2:$B$1132,MATCH(Sheet1!C634,Sheet1!$C$2:$C$1132,0)),"IDK")</f>
        <v>IT</v>
      </c>
      <c r="E634" t="s">
        <v>48</v>
      </c>
      <c r="F634" t="s">
        <v>53</v>
      </c>
      <c r="G634" s="1">
        <v>45618</v>
      </c>
      <c r="H634" t="s">
        <v>55</v>
      </c>
      <c r="I634" s="2" t="s">
        <v>88</v>
      </c>
      <c r="J634" s="2" t="s">
        <v>90</v>
      </c>
      <c r="K634">
        <f>IFERROR(INDEX(Sheet2!$C$2:$C$1132,MATCH(Sheet1!C634,Sheet1!$C$2:$C$1132,0)),"")</f>
        <v>25000</v>
      </c>
      <c r="L634">
        <f>IFERROR(INDEX(Sheet2!$D$2:$D$1132,MATCH(Sheet1!C634,$C$2:$C$1132,0)),"")</f>
        <v>60000</v>
      </c>
      <c r="M634" t="str">
        <f>IFERROR(INDEX($M$2:$M$1132,MATCH(B634,$B$2:$B$1132,0)),"")</f>
        <v>SQL, EXCEL, POWERBI, TABLEAU</v>
      </c>
      <c r="N634" t="s">
        <v>74</v>
      </c>
      <c r="O634" t="s">
        <v>77</v>
      </c>
    </row>
    <row r="635" spans="1:15" x14ac:dyDescent="0.25">
      <c r="A635">
        <v>18483</v>
      </c>
      <c r="B635" t="s">
        <v>14</v>
      </c>
      <c r="C635" t="s">
        <v>31</v>
      </c>
      <c r="D635" t="str">
        <f>IFERROR(INDEX(Sheet2!$B$2:$B$1132,MATCH(Sheet1!C635,Sheet1!$C$2:$C$1132,0)),"IDK")</f>
        <v>IT</v>
      </c>
      <c r="E635" t="s">
        <v>48</v>
      </c>
      <c r="F635" t="s">
        <v>54</v>
      </c>
      <c r="G635" s="1">
        <v>45540</v>
      </c>
      <c r="H635" t="s">
        <v>55</v>
      </c>
      <c r="I635" s="2" t="s">
        <v>86</v>
      </c>
      <c r="J635" s="2" t="s">
        <v>87</v>
      </c>
      <c r="K635">
        <f>IFERROR(INDEX(Sheet2!$C$2:$C$1132,MATCH(Sheet1!C635,Sheet1!$C$2:$C$1132,0)),"")</f>
        <v>25000</v>
      </c>
      <c r="L635">
        <f>IFERROR(INDEX(Sheet2!$D$2:$D$1132,MATCH(Sheet1!C635,$C$2:$C$1132,0)),"")</f>
        <v>75000</v>
      </c>
      <c r="M635" t="str">
        <f>IFERROR(INDEX($M$2:$M$1132,MATCH(B635,$B$2:$B$1132,0)),"")</f>
        <v>SQL, EXCEL, POWERBI, TABLEAU</v>
      </c>
      <c r="N635" t="s">
        <v>74</v>
      </c>
      <c r="O635" t="s">
        <v>77</v>
      </c>
    </row>
    <row r="636" spans="1:15" x14ac:dyDescent="0.25">
      <c r="A636">
        <v>18484</v>
      </c>
      <c r="B636" t="s">
        <v>14</v>
      </c>
      <c r="C636" t="s">
        <v>32</v>
      </c>
      <c r="D636" t="str">
        <f>IFERROR(INDEX(Sheet2!$B$2:$B$1132,MATCH(Sheet1!C636,Sheet1!$C$2:$C$1132,0)),"IDK")</f>
        <v>SOCIAL</v>
      </c>
      <c r="E636" t="s">
        <v>48</v>
      </c>
      <c r="F636" t="s">
        <v>54</v>
      </c>
      <c r="G636" s="1">
        <v>45456</v>
      </c>
      <c r="H636" t="s">
        <v>55</v>
      </c>
      <c r="I636" s="2" t="s">
        <v>92</v>
      </c>
      <c r="J636" s="2" t="s">
        <v>93</v>
      </c>
      <c r="K636">
        <f>IFERROR(INDEX(Sheet2!$C$2:$C$1132,MATCH(Sheet1!C636,Sheet1!$C$2:$C$1132,0)),"")</f>
        <v>20000</v>
      </c>
      <c r="L636">
        <f>IFERROR(INDEX(Sheet2!$D$2:$D$1132,MATCH(Sheet1!C636,$C$2:$C$1132,0)),"")</f>
        <v>70000</v>
      </c>
      <c r="M636" t="str">
        <f>IFERROR(INDEX($M$2:$M$1132,MATCH(B636,$B$2:$B$1132,0)),"")</f>
        <v>SQL, EXCEL, POWERBI, TABLEAU</v>
      </c>
      <c r="N636" t="s">
        <v>74</v>
      </c>
      <c r="O636" t="s">
        <v>78</v>
      </c>
    </row>
    <row r="637" spans="1:15" x14ac:dyDescent="0.25">
      <c r="A637">
        <v>18485</v>
      </c>
      <c r="B637" t="s">
        <v>14</v>
      </c>
      <c r="C637" t="s">
        <v>33</v>
      </c>
      <c r="D637" t="str">
        <f>IFERROR(INDEX(Sheet2!$B$2:$B$1132,MATCH(Sheet1!C637,Sheet1!$C$2:$C$1132,0)),"IDK")</f>
        <v>FINANCE</v>
      </c>
      <c r="E637" t="s">
        <v>48</v>
      </c>
      <c r="F637" t="s">
        <v>54</v>
      </c>
      <c r="G637" s="1">
        <v>45298</v>
      </c>
      <c r="H637" t="s">
        <v>55</v>
      </c>
      <c r="I637" s="2" t="s">
        <v>96</v>
      </c>
      <c r="J637" s="2" t="s">
        <v>97</v>
      </c>
      <c r="K637">
        <f>IFERROR(INDEX(Sheet2!$C$2:$C$1132,MATCH(Sheet1!C637,Sheet1!$C$2:$C$1132,0)),"")</f>
        <v>40000</v>
      </c>
      <c r="L637">
        <f>IFERROR(INDEX(Sheet2!$D$2:$D$1132,MATCH(Sheet1!C637,$C$2:$C$1132,0)),"")</f>
        <v>85000</v>
      </c>
      <c r="M637" t="str">
        <f>IFERROR(INDEX($M$2:$M$1132,MATCH(B637,$B$2:$B$1132,0)),"")</f>
        <v>SQL, EXCEL, POWERBI, TABLEAU</v>
      </c>
      <c r="N637" t="s">
        <v>74</v>
      </c>
      <c r="O637" t="s">
        <v>80</v>
      </c>
    </row>
    <row r="638" spans="1:15" x14ac:dyDescent="0.25">
      <c r="A638">
        <v>18486</v>
      </c>
      <c r="B638" t="s">
        <v>14</v>
      </c>
      <c r="C638" t="s">
        <v>23</v>
      </c>
      <c r="D638" t="str">
        <f>IFERROR(INDEX(Sheet2!$B$2:$B$1132,MATCH(Sheet1!C638,Sheet1!$C$2:$C$1132,0)),"IDK")</f>
        <v>IT</v>
      </c>
      <c r="E638" t="s">
        <v>48</v>
      </c>
      <c r="F638" t="s">
        <v>54</v>
      </c>
      <c r="G638" s="1">
        <v>45590</v>
      </c>
      <c r="H638" t="s">
        <v>55</v>
      </c>
      <c r="I638" s="2" t="s">
        <v>98</v>
      </c>
      <c r="J638" s="2" t="s">
        <v>99</v>
      </c>
      <c r="K638">
        <f>IFERROR(INDEX(Sheet2!$C$2:$C$1132,MATCH(Sheet1!C638,Sheet1!$C$2:$C$1132,0)),"")</f>
        <v>35000</v>
      </c>
      <c r="L638">
        <f>IFERROR(INDEX(Sheet2!$D$2:$D$1132,MATCH(Sheet1!C638,$C$2:$C$1132,0)),"")</f>
        <v>70000</v>
      </c>
      <c r="M638" t="str">
        <f>IFERROR(INDEX($M$2:$M$1132,MATCH(B638,$B$2:$B$1132,0)),"")</f>
        <v>SQL, EXCEL, POWERBI, TABLEAU</v>
      </c>
      <c r="N638" t="s">
        <v>75</v>
      </c>
      <c r="O638" t="s">
        <v>79</v>
      </c>
    </row>
    <row r="639" spans="1:15" x14ac:dyDescent="0.25">
      <c r="A639">
        <v>18487</v>
      </c>
      <c r="B639" t="s">
        <v>14</v>
      </c>
      <c r="C639" t="s">
        <v>24</v>
      </c>
      <c r="D639" t="str">
        <f>IFERROR(INDEX(Sheet2!$B$2:$B$1132,MATCH(Sheet1!C639,Sheet1!$C$2:$C$1132,0)),"IDK")</f>
        <v>HEALTH</v>
      </c>
      <c r="E639" t="s">
        <v>48</v>
      </c>
      <c r="F639" t="s">
        <v>54</v>
      </c>
      <c r="G639" s="1">
        <v>45605</v>
      </c>
      <c r="H639" t="s">
        <v>55</v>
      </c>
      <c r="I639" s="2" t="s">
        <v>82</v>
      </c>
      <c r="J639" s="2" t="s">
        <v>83</v>
      </c>
      <c r="K639">
        <f>IFERROR(INDEX(Sheet2!$C$2:$C$1132,MATCH(Sheet1!C639,Sheet1!$C$2:$C$1132,0)),"")</f>
        <v>25000</v>
      </c>
      <c r="L639">
        <f>IFERROR(INDEX(Sheet2!$D$2:$D$1132,MATCH(Sheet1!C639,$C$2:$C$1132,0)),"")</f>
        <v>50000</v>
      </c>
      <c r="M639" t="str">
        <f>IFERROR(INDEX($M$2:$M$1132,MATCH(B639,$B$2:$B$1132,0)),"")</f>
        <v>SQL, EXCEL, POWERBI, TABLEAU</v>
      </c>
      <c r="N639" t="s">
        <v>75</v>
      </c>
      <c r="O639" t="s">
        <v>37</v>
      </c>
    </row>
    <row r="640" spans="1:15" x14ac:dyDescent="0.25">
      <c r="A640">
        <v>18488</v>
      </c>
      <c r="B640" t="s">
        <v>14</v>
      </c>
      <c r="C640" t="s">
        <v>25</v>
      </c>
      <c r="D640" t="str">
        <f>IFERROR(INDEX(Sheet2!$B$2:$B$1132,MATCH(Sheet1!C640,Sheet1!$C$2:$C$1132,0)),"IDK")</f>
        <v>SOCIAL</v>
      </c>
      <c r="E640" t="s">
        <v>48</v>
      </c>
      <c r="F640" t="s">
        <v>54</v>
      </c>
      <c r="G640" s="1">
        <v>45390</v>
      </c>
      <c r="H640" t="s">
        <v>55</v>
      </c>
      <c r="I640" s="2" t="s">
        <v>82</v>
      </c>
      <c r="J640" s="2" t="s">
        <v>84</v>
      </c>
      <c r="K640">
        <f>IFERROR(INDEX(Sheet2!$C$2:$C$1132,MATCH(Sheet1!C640,Sheet1!$C$2:$C$1132,0)),"")</f>
        <v>30000</v>
      </c>
      <c r="L640">
        <f>IFERROR(INDEX(Sheet2!$D$2:$D$1132,MATCH(Sheet1!C640,$C$2:$C$1132,0)),"")</f>
        <v>60000</v>
      </c>
      <c r="M640" t="str">
        <f>IFERROR(INDEX($M$2:$M$1132,MATCH(B640,$B$2:$B$1132,0)),"")</f>
        <v>SQL, EXCEL, POWERBI, TABLEAU</v>
      </c>
      <c r="N640" t="s">
        <v>75</v>
      </c>
      <c r="O640" t="s">
        <v>77</v>
      </c>
    </row>
    <row r="641" spans="1:15" x14ac:dyDescent="0.25">
      <c r="A641">
        <v>18489</v>
      </c>
      <c r="B641" t="s">
        <v>14</v>
      </c>
      <c r="C641" t="s">
        <v>26</v>
      </c>
      <c r="D641" t="str">
        <f>IFERROR(INDEX(Sheet2!$B$2:$B$1132,MATCH(Sheet1!C641,Sheet1!$C$2:$C$1132,0)),"IDK")</f>
        <v>FINANCE</v>
      </c>
      <c r="E641" t="s">
        <v>48</v>
      </c>
      <c r="F641" t="s">
        <v>54</v>
      </c>
      <c r="G641" s="1">
        <v>45541</v>
      </c>
      <c r="H641" t="s">
        <v>55</v>
      </c>
      <c r="I641" s="2" t="s">
        <v>82</v>
      </c>
      <c r="J641" s="2" t="s">
        <v>85</v>
      </c>
      <c r="K641">
        <f>IFERROR(INDEX(Sheet2!$C$2:$C$1132,MATCH(Sheet1!C641,Sheet1!$C$2:$C$1132,0)),"")</f>
        <v>35000</v>
      </c>
      <c r="L641">
        <f>IFERROR(INDEX(Sheet2!$D$2:$D$1132,MATCH(Sheet1!C641,$C$2:$C$1132,0)),"")</f>
        <v>75000</v>
      </c>
      <c r="M641" t="str">
        <f>IFERROR(INDEX($M$2:$M$1132,MATCH(B641,$B$2:$B$1132,0)),"")</f>
        <v>SQL, EXCEL, POWERBI, TABLEAU</v>
      </c>
      <c r="N641" t="s">
        <v>75</v>
      </c>
      <c r="O641" t="s">
        <v>77</v>
      </c>
    </row>
    <row r="642" spans="1:15" x14ac:dyDescent="0.25">
      <c r="A642">
        <v>18490</v>
      </c>
      <c r="B642" t="s">
        <v>14</v>
      </c>
      <c r="C642" t="s">
        <v>27</v>
      </c>
      <c r="D642" t="str">
        <f>IFERROR(INDEX(Sheet2!$B$2:$B$1132,MATCH(Sheet1!C642,Sheet1!$C$2:$C$1132,0)),"IDK")</f>
        <v>IT</v>
      </c>
      <c r="E642" t="s">
        <v>48</v>
      </c>
      <c r="F642" t="s">
        <v>54</v>
      </c>
      <c r="G642" s="1">
        <v>45435</v>
      </c>
      <c r="H642" t="s">
        <v>55</v>
      </c>
      <c r="I642" s="2" t="s">
        <v>86</v>
      </c>
      <c r="J642" s="2" t="s">
        <v>87</v>
      </c>
      <c r="K642">
        <f>IFERROR(INDEX(Sheet2!$C$2:$C$1132,MATCH(Sheet1!C642,Sheet1!$C$2:$C$1132,0)),"")</f>
        <v>40000</v>
      </c>
      <c r="L642">
        <f>IFERROR(INDEX(Sheet2!$D$2:$D$1132,MATCH(Sheet1!C642,$C$2:$C$1132,0)),"")</f>
        <v>80000</v>
      </c>
      <c r="M642" t="str">
        <f>IFERROR(INDEX($M$2:$M$1132,MATCH(B642,$B$2:$B$1132,0)),"")</f>
        <v>SQL, EXCEL, POWERBI, TABLEAU</v>
      </c>
      <c r="N642" t="s">
        <v>75</v>
      </c>
      <c r="O642" t="s">
        <v>78</v>
      </c>
    </row>
    <row r="643" spans="1:15" x14ac:dyDescent="0.25">
      <c r="A643">
        <v>18491</v>
      </c>
      <c r="B643" t="s">
        <v>14</v>
      </c>
      <c r="C643" t="s">
        <v>28</v>
      </c>
      <c r="D643" t="str">
        <f>IFERROR(INDEX(Sheet2!$B$2:$B$1132,MATCH(Sheet1!C643,Sheet1!$C$2:$C$1132,0)),"IDK")</f>
        <v>IT</v>
      </c>
      <c r="E643" t="s">
        <v>48</v>
      </c>
      <c r="F643" t="s">
        <v>54</v>
      </c>
      <c r="G643" s="1">
        <v>45360</v>
      </c>
      <c r="H643" t="s">
        <v>55</v>
      </c>
      <c r="I643" s="2" t="s">
        <v>88</v>
      </c>
      <c r="J643" s="2" t="s">
        <v>89</v>
      </c>
      <c r="K643">
        <f>IFERROR(INDEX(Sheet2!$C$2:$C$1132,MATCH(Sheet1!C643,Sheet1!$C$2:$C$1132,0)),"")</f>
        <v>30000</v>
      </c>
      <c r="L643">
        <f>IFERROR(INDEX(Sheet2!$D$2:$D$1132,MATCH(Sheet1!C643,$C$2:$C$1132,0)),"")</f>
        <v>55000</v>
      </c>
      <c r="M643" t="str">
        <f>IFERROR(INDEX($M$2:$M$1132,MATCH(B643,$B$2:$B$1132,0)),"")</f>
        <v>SQL, EXCEL, POWERBI, TABLEAU</v>
      </c>
      <c r="N643" t="s">
        <v>75</v>
      </c>
      <c r="O643" t="s">
        <v>80</v>
      </c>
    </row>
    <row r="644" spans="1:15" x14ac:dyDescent="0.25">
      <c r="A644">
        <v>18492</v>
      </c>
      <c r="B644" t="s">
        <v>14</v>
      </c>
      <c r="C644" t="s">
        <v>29</v>
      </c>
      <c r="D644" t="str">
        <f>IFERROR(INDEX(Sheet2!$B$2:$B$1132,MATCH(Sheet1!C644,Sheet1!$C$2:$C$1132,0)),"IDK")</f>
        <v>IT</v>
      </c>
      <c r="E644" t="s">
        <v>48</v>
      </c>
      <c r="F644" t="s">
        <v>54</v>
      </c>
      <c r="G644" s="1">
        <v>45484</v>
      </c>
      <c r="H644" t="s">
        <v>55</v>
      </c>
      <c r="I644" s="2" t="s">
        <v>88</v>
      </c>
      <c r="J644" s="2" t="s">
        <v>90</v>
      </c>
      <c r="K644">
        <f>IFERROR(INDEX(Sheet2!$C$2:$C$1132,MATCH(Sheet1!C644,Sheet1!$C$2:$C$1132,0)),"")</f>
        <v>35000</v>
      </c>
      <c r="L644">
        <f>IFERROR(INDEX(Sheet2!$D$2:$D$1132,MATCH(Sheet1!C644,$C$2:$C$1132,0)),"")</f>
        <v>70000</v>
      </c>
      <c r="M644" t="str">
        <f>IFERROR(INDEX($M$2:$M$1132,MATCH(B644,$B$2:$B$1132,0)),"")</f>
        <v>SQL, EXCEL, POWERBI, TABLEAU</v>
      </c>
      <c r="N644" t="s">
        <v>75</v>
      </c>
      <c r="O644" t="s">
        <v>79</v>
      </c>
    </row>
    <row r="645" spans="1:15" x14ac:dyDescent="0.25">
      <c r="A645">
        <v>18493</v>
      </c>
      <c r="B645" t="s">
        <v>14</v>
      </c>
      <c r="C645" t="s">
        <v>23</v>
      </c>
      <c r="D645" t="str">
        <f>IFERROR(INDEX(Sheet2!$B$2:$B$1132,MATCH(Sheet1!C645,Sheet1!$C$2:$C$1132,0)),"IDK")</f>
        <v>IT</v>
      </c>
      <c r="E645" t="s">
        <v>48</v>
      </c>
      <c r="F645" t="s">
        <v>54</v>
      </c>
      <c r="G645" s="1">
        <v>45595</v>
      </c>
      <c r="H645" t="s">
        <v>55</v>
      </c>
      <c r="I645" s="2" t="s">
        <v>88</v>
      </c>
      <c r="J645" s="2" t="s">
        <v>91</v>
      </c>
      <c r="K645">
        <f>IFERROR(INDEX(Sheet2!$C$2:$C$1132,MATCH(Sheet1!C645,Sheet1!$C$2:$C$1132,0)),"")</f>
        <v>35000</v>
      </c>
      <c r="L645">
        <f>IFERROR(INDEX(Sheet2!$D$2:$D$1132,MATCH(Sheet1!C645,$C$2:$C$1132,0)),"")</f>
        <v>70000</v>
      </c>
      <c r="M645" t="str">
        <f>IFERROR(INDEX($M$2:$M$1132,MATCH(B645,$B$2:$B$1132,0)),"")</f>
        <v>SQL, EXCEL, POWERBI, TABLEAU</v>
      </c>
      <c r="N645" t="s">
        <v>75</v>
      </c>
      <c r="O645" t="s">
        <v>37</v>
      </c>
    </row>
    <row r="646" spans="1:15" x14ac:dyDescent="0.25">
      <c r="A646">
        <v>18494</v>
      </c>
      <c r="B646" t="s">
        <v>14</v>
      </c>
      <c r="C646" t="s">
        <v>30</v>
      </c>
      <c r="D646" t="str">
        <f>IFERROR(INDEX(Sheet2!$B$2:$B$1132,MATCH(Sheet1!C646,Sheet1!$C$2:$C$1132,0)),"IDK")</f>
        <v>IT</v>
      </c>
      <c r="E646" t="s">
        <v>48</v>
      </c>
      <c r="F646" t="s">
        <v>54</v>
      </c>
      <c r="G646" s="1">
        <v>45408</v>
      </c>
      <c r="H646" t="s">
        <v>55</v>
      </c>
      <c r="I646" s="2" t="s">
        <v>92</v>
      </c>
      <c r="J646" s="2" t="s">
        <v>93</v>
      </c>
      <c r="K646">
        <f>IFERROR(INDEX(Sheet2!$C$2:$C$1132,MATCH(Sheet1!C646,Sheet1!$C$2:$C$1132,0)),"")</f>
        <v>25000</v>
      </c>
      <c r="L646">
        <f>IFERROR(INDEX(Sheet2!$D$2:$D$1132,MATCH(Sheet1!C646,$C$2:$C$1132,0)),"")</f>
        <v>60000</v>
      </c>
      <c r="M646" t="str">
        <f>IFERROR(INDEX($M$2:$M$1132,MATCH(B646,$B$2:$B$1132,0)),"")</f>
        <v>SQL, EXCEL, POWERBI, TABLEAU</v>
      </c>
      <c r="N646" t="s">
        <v>75</v>
      </c>
      <c r="O646" t="s">
        <v>37</v>
      </c>
    </row>
    <row r="647" spans="1:15" x14ac:dyDescent="0.25">
      <c r="A647">
        <v>18495</v>
      </c>
      <c r="B647" t="s">
        <v>14</v>
      </c>
      <c r="C647" t="s">
        <v>31</v>
      </c>
      <c r="D647" t="str">
        <f>IFERROR(INDEX(Sheet2!$B$2:$B$1132,MATCH(Sheet1!C647,Sheet1!$C$2:$C$1132,0)),"IDK")</f>
        <v>IT</v>
      </c>
      <c r="E647" t="s">
        <v>48</v>
      </c>
      <c r="F647" t="s">
        <v>54</v>
      </c>
      <c r="G647" s="1">
        <v>45353</v>
      </c>
      <c r="H647" t="s">
        <v>55</v>
      </c>
      <c r="I647" s="2" t="s">
        <v>94</v>
      </c>
      <c r="J647" s="2" t="s">
        <v>95</v>
      </c>
      <c r="K647">
        <f>IFERROR(INDEX(Sheet2!$C$2:$C$1132,MATCH(Sheet1!C647,Sheet1!$C$2:$C$1132,0)),"")</f>
        <v>25000</v>
      </c>
      <c r="L647">
        <f>IFERROR(INDEX(Sheet2!$D$2:$D$1132,MATCH(Sheet1!C647,$C$2:$C$1132,0)),"")</f>
        <v>75000</v>
      </c>
      <c r="M647" t="str">
        <f>IFERROR(INDEX($M$2:$M$1132,MATCH(B647,$B$2:$B$1132,0)),"")</f>
        <v>SQL, EXCEL, POWERBI, TABLEAU</v>
      </c>
      <c r="N647" t="s">
        <v>76</v>
      </c>
      <c r="O647" t="s">
        <v>37</v>
      </c>
    </row>
    <row r="648" spans="1:15" x14ac:dyDescent="0.25">
      <c r="A648">
        <v>18496</v>
      </c>
      <c r="B648" t="s">
        <v>14</v>
      </c>
      <c r="C648" t="s">
        <v>32</v>
      </c>
      <c r="D648" t="str">
        <f>IFERROR(INDEX(Sheet2!$B$2:$B$1132,MATCH(Sheet1!C648,Sheet1!$C$2:$C$1132,0)),"IDK")</f>
        <v>SOCIAL</v>
      </c>
      <c r="E648" t="s">
        <v>48</v>
      </c>
      <c r="F648" t="s">
        <v>54</v>
      </c>
      <c r="G648" s="1">
        <v>45506</v>
      </c>
      <c r="H648" t="s">
        <v>55</v>
      </c>
      <c r="I648" s="2" t="s">
        <v>96</v>
      </c>
      <c r="J648" s="2" t="s">
        <v>97</v>
      </c>
      <c r="K648">
        <f>IFERROR(INDEX(Sheet2!$C$2:$C$1132,MATCH(Sheet1!C648,Sheet1!$C$2:$C$1132,0)),"")</f>
        <v>20000</v>
      </c>
      <c r="L648">
        <f>IFERROR(INDEX(Sheet2!$D$2:$D$1132,MATCH(Sheet1!C648,$C$2:$C$1132,0)),"")</f>
        <v>70000</v>
      </c>
      <c r="M648" t="str">
        <f>IFERROR(INDEX($M$2:$M$1132,MATCH(B648,$B$2:$B$1132,0)),"")</f>
        <v>SQL, EXCEL, POWERBI, TABLEAU</v>
      </c>
      <c r="N648" t="s">
        <v>76</v>
      </c>
      <c r="O648" t="s">
        <v>37</v>
      </c>
    </row>
    <row r="649" spans="1:15" x14ac:dyDescent="0.25">
      <c r="A649">
        <v>18497</v>
      </c>
      <c r="B649" t="s">
        <v>14</v>
      </c>
      <c r="C649" t="s">
        <v>33</v>
      </c>
      <c r="D649" t="str">
        <f>IFERROR(INDEX(Sheet2!$B$2:$B$1132,MATCH(Sheet1!C649,Sheet1!$C$2:$C$1132,0)),"IDK")</f>
        <v>FINANCE</v>
      </c>
      <c r="E649" t="s">
        <v>48</v>
      </c>
      <c r="F649" t="s">
        <v>54</v>
      </c>
      <c r="G649" s="1">
        <v>45530</v>
      </c>
      <c r="H649" t="s">
        <v>55</v>
      </c>
      <c r="I649" s="2" t="s">
        <v>98</v>
      </c>
      <c r="J649" s="2" t="s">
        <v>99</v>
      </c>
      <c r="K649">
        <f>IFERROR(INDEX(Sheet2!$C$2:$C$1132,MATCH(Sheet1!C649,Sheet1!$C$2:$C$1132,0)),"")</f>
        <v>40000</v>
      </c>
      <c r="L649">
        <f>IFERROR(INDEX(Sheet2!$D$2:$D$1132,MATCH(Sheet1!C649,$C$2:$C$1132,0)),"")</f>
        <v>85000</v>
      </c>
      <c r="M649" t="str">
        <f>IFERROR(INDEX($M$2:$M$1132,MATCH(B649,$B$2:$B$1132,0)),"")</f>
        <v>SQL, EXCEL, POWERBI, TABLEAU</v>
      </c>
      <c r="N649" t="s">
        <v>76</v>
      </c>
      <c r="O649" t="s">
        <v>37</v>
      </c>
    </row>
    <row r="650" spans="1:15" x14ac:dyDescent="0.25">
      <c r="A650">
        <v>18498</v>
      </c>
      <c r="B650" t="s">
        <v>14</v>
      </c>
      <c r="C650" t="s">
        <v>24</v>
      </c>
      <c r="D650" t="str">
        <f>IFERROR(INDEX(Sheet2!$B$2:$B$1132,MATCH(Sheet1!C650,Sheet1!$C$2:$C$1132,0)),"IDK")</f>
        <v>HEALTH</v>
      </c>
      <c r="E650" t="s">
        <v>48</v>
      </c>
      <c r="F650" t="s">
        <v>54</v>
      </c>
      <c r="G650" s="1">
        <v>45619</v>
      </c>
      <c r="H650" t="s">
        <v>55</v>
      </c>
      <c r="I650" s="2" t="s">
        <v>100</v>
      </c>
      <c r="J650" s="2" t="s">
        <v>101</v>
      </c>
      <c r="K650">
        <f>IFERROR(INDEX(Sheet2!$C$2:$C$1132,MATCH(Sheet1!C650,Sheet1!$C$2:$C$1132,0)),"")</f>
        <v>25000</v>
      </c>
      <c r="L650">
        <f>IFERROR(INDEX(Sheet2!$D$2:$D$1132,MATCH(Sheet1!C650,$C$2:$C$1132,0)),"")</f>
        <v>50000</v>
      </c>
      <c r="M650" t="str">
        <f>IFERROR(INDEX($M$2:$M$1132,MATCH(B650,$B$2:$B$1132,0)),"")</f>
        <v>SQL, EXCEL, POWERBI, TABLEAU</v>
      </c>
      <c r="N650" t="s">
        <v>76</v>
      </c>
      <c r="O650" t="s">
        <v>37</v>
      </c>
    </row>
    <row r="651" spans="1:15" x14ac:dyDescent="0.25">
      <c r="A651">
        <v>18499</v>
      </c>
      <c r="B651" t="s">
        <v>14</v>
      </c>
      <c r="C651" t="s">
        <v>25</v>
      </c>
      <c r="D651" t="str">
        <f>IFERROR(INDEX(Sheet2!$B$2:$B$1132,MATCH(Sheet1!C651,Sheet1!$C$2:$C$1132,0)),"IDK")</f>
        <v>SOCIAL</v>
      </c>
      <c r="E651" t="s">
        <v>48</v>
      </c>
      <c r="F651" t="s">
        <v>54</v>
      </c>
      <c r="G651" s="1">
        <v>45378</v>
      </c>
      <c r="H651" t="s">
        <v>55</v>
      </c>
      <c r="I651" s="2" t="s">
        <v>102</v>
      </c>
      <c r="J651" s="2" t="s">
        <v>103</v>
      </c>
      <c r="K651">
        <f>IFERROR(INDEX(Sheet2!$C$2:$C$1132,MATCH(Sheet1!C651,Sheet1!$C$2:$C$1132,0)),"")</f>
        <v>30000</v>
      </c>
      <c r="L651">
        <f>IFERROR(INDEX(Sheet2!$D$2:$D$1132,MATCH(Sheet1!C651,$C$2:$C$1132,0)),"")</f>
        <v>60000</v>
      </c>
      <c r="M651" t="str">
        <f>IFERROR(INDEX($M$2:$M$1132,MATCH(B651,$B$2:$B$1132,0)),"")</f>
        <v>SQL, EXCEL, POWERBI, TABLEAU</v>
      </c>
      <c r="N651" t="s">
        <v>76</v>
      </c>
      <c r="O651" t="s">
        <v>37</v>
      </c>
    </row>
    <row r="652" spans="1:15" x14ac:dyDescent="0.25">
      <c r="A652">
        <v>18500</v>
      </c>
      <c r="B652" t="s">
        <v>14</v>
      </c>
      <c r="C652" t="s">
        <v>26</v>
      </c>
      <c r="D652" t="str">
        <f>IFERROR(INDEX(Sheet2!$B$2:$B$1132,MATCH(Sheet1!C652,Sheet1!$C$2:$C$1132,0)),"IDK")</f>
        <v>FINANCE</v>
      </c>
      <c r="E652" t="s">
        <v>48</v>
      </c>
      <c r="F652" t="s">
        <v>54</v>
      </c>
      <c r="G652" s="1">
        <v>45349</v>
      </c>
      <c r="H652" t="s">
        <v>55</v>
      </c>
      <c r="I652" s="2" t="s">
        <v>104</v>
      </c>
      <c r="J652" s="2" t="s">
        <v>105</v>
      </c>
      <c r="K652">
        <f>IFERROR(INDEX(Sheet2!$C$2:$C$1132,MATCH(Sheet1!C652,Sheet1!$C$2:$C$1132,0)),"")</f>
        <v>35000</v>
      </c>
      <c r="L652">
        <f>IFERROR(INDEX(Sheet2!$D$2:$D$1132,MATCH(Sheet1!C652,$C$2:$C$1132,0)),"")</f>
        <v>75000</v>
      </c>
      <c r="M652" t="str">
        <f>IFERROR(INDEX($M$2:$M$1132,MATCH(B652,$B$2:$B$1132,0)),"")</f>
        <v>SQL, EXCEL, POWERBI, TABLEAU</v>
      </c>
      <c r="N652" t="s">
        <v>76</v>
      </c>
      <c r="O652" t="s">
        <v>37</v>
      </c>
    </row>
    <row r="653" spans="1:15" x14ac:dyDescent="0.25">
      <c r="A653">
        <v>18501</v>
      </c>
      <c r="B653" t="s">
        <v>14</v>
      </c>
      <c r="C653" t="s">
        <v>27</v>
      </c>
      <c r="D653" t="str">
        <f>IFERROR(INDEX(Sheet2!$B$2:$B$1132,MATCH(Sheet1!C653,Sheet1!$C$2:$C$1132,0)),"IDK")</f>
        <v>IT</v>
      </c>
      <c r="E653" t="s">
        <v>48</v>
      </c>
      <c r="F653" t="s">
        <v>54</v>
      </c>
      <c r="G653" s="1">
        <v>45574</v>
      </c>
      <c r="H653" t="s">
        <v>55</v>
      </c>
      <c r="I653" s="2" t="s">
        <v>88</v>
      </c>
      <c r="J653" s="2" t="s">
        <v>90</v>
      </c>
      <c r="K653">
        <f>IFERROR(INDEX(Sheet2!$C$2:$C$1132,MATCH(Sheet1!C653,Sheet1!$C$2:$C$1132,0)),"")</f>
        <v>40000</v>
      </c>
      <c r="L653">
        <f>IFERROR(INDEX(Sheet2!$D$2:$D$1132,MATCH(Sheet1!C653,$C$2:$C$1132,0)),"")</f>
        <v>80000</v>
      </c>
      <c r="M653" t="str">
        <f>IFERROR(INDEX($M$2:$M$1132,MATCH(B653,$B$2:$B$1132,0)),"")</f>
        <v>SQL, EXCEL, POWERBI, TABLEAU</v>
      </c>
      <c r="N653" t="s">
        <v>76</v>
      </c>
      <c r="O653" t="s">
        <v>37</v>
      </c>
    </row>
    <row r="654" spans="1:15" x14ac:dyDescent="0.25">
      <c r="A654">
        <v>18502</v>
      </c>
      <c r="B654" t="s">
        <v>14</v>
      </c>
      <c r="C654" t="s">
        <v>28</v>
      </c>
      <c r="D654" t="str">
        <f>IFERROR(INDEX(Sheet2!$B$2:$B$1132,MATCH(Sheet1!C654,Sheet1!$C$2:$C$1132,0)),"IDK")</f>
        <v>IT</v>
      </c>
      <c r="E654" t="s">
        <v>48</v>
      </c>
      <c r="F654" t="s">
        <v>54</v>
      </c>
      <c r="G654" s="1">
        <v>45596</v>
      </c>
      <c r="H654" t="s">
        <v>55</v>
      </c>
      <c r="I654" s="2" t="s">
        <v>86</v>
      </c>
      <c r="J654" s="2" t="s">
        <v>87</v>
      </c>
      <c r="K654">
        <f>IFERROR(INDEX(Sheet2!$C$2:$C$1132,MATCH(Sheet1!C654,Sheet1!$C$2:$C$1132,0)),"")</f>
        <v>30000</v>
      </c>
      <c r="L654">
        <f>IFERROR(INDEX(Sheet2!$D$2:$D$1132,MATCH(Sheet1!C654,$C$2:$C$1132,0)),"")</f>
        <v>55000</v>
      </c>
      <c r="M654" t="str">
        <f>IFERROR(INDEX($M$2:$M$1132,MATCH(B654,$B$2:$B$1132,0)),"")</f>
        <v>SQL, EXCEL, POWERBI, TABLEAU</v>
      </c>
      <c r="N654" t="s">
        <v>74</v>
      </c>
      <c r="O654" t="s">
        <v>37</v>
      </c>
    </row>
    <row r="655" spans="1:15" x14ac:dyDescent="0.25">
      <c r="A655">
        <v>18503</v>
      </c>
      <c r="B655" t="s">
        <v>14</v>
      </c>
      <c r="C655" t="s">
        <v>29</v>
      </c>
      <c r="D655" t="str">
        <f>IFERROR(INDEX(Sheet2!$B$2:$B$1132,MATCH(Sheet1!C655,Sheet1!$C$2:$C$1132,0)),"IDK")</f>
        <v>IT</v>
      </c>
      <c r="E655" t="s">
        <v>48</v>
      </c>
      <c r="F655" t="s">
        <v>54</v>
      </c>
      <c r="G655" s="1">
        <v>45350</v>
      </c>
      <c r="H655" t="s">
        <v>60</v>
      </c>
      <c r="I655" s="2" t="s">
        <v>176</v>
      </c>
      <c r="J655" s="2" t="s">
        <v>177</v>
      </c>
      <c r="K655">
        <f>IFERROR(INDEX(Sheet2!$C$2:$C$1132,MATCH(Sheet1!C655,Sheet1!$C$2:$C$1132,0)),"")</f>
        <v>35000</v>
      </c>
      <c r="L655">
        <f>IFERROR(INDEX(Sheet2!$D$2:$D$1132,MATCH(Sheet1!C655,$C$2:$C$1132,0)),"")</f>
        <v>70000</v>
      </c>
      <c r="M655" t="str">
        <f>IFERROR(INDEX($M$2:$M$1132,MATCH(B655,$B$2:$B$1132,0)),"")</f>
        <v>SQL, EXCEL, POWERBI, TABLEAU</v>
      </c>
      <c r="N655" t="s">
        <v>74</v>
      </c>
      <c r="O655" t="s">
        <v>37</v>
      </c>
    </row>
    <row r="656" spans="1:15" x14ac:dyDescent="0.25">
      <c r="A656">
        <v>18504</v>
      </c>
      <c r="B656" t="s">
        <v>14</v>
      </c>
      <c r="C656" t="s">
        <v>23</v>
      </c>
      <c r="D656" t="str">
        <f>IFERROR(INDEX(Sheet2!$B$2:$B$1132,MATCH(Sheet1!C656,Sheet1!$C$2:$C$1132,0)),"IDK")</f>
        <v>IT</v>
      </c>
      <c r="E656" t="s">
        <v>48</v>
      </c>
      <c r="F656" t="s">
        <v>54</v>
      </c>
      <c r="G656" s="1">
        <v>45542</v>
      </c>
      <c r="H656" t="s">
        <v>60</v>
      </c>
      <c r="I656" s="2" t="s">
        <v>178</v>
      </c>
      <c r="J656" s="2" t="s">
        <v>179</v>
      </c>
      <c r="K656">
        <f>IFERROR(INDEX(Sheet2!$C$2:$C$1132,MATCH(Sheet1!C656,Sheet1!$C$2:$C$1132,0)),"")</f>
        <v>35000</v>
      </c>
      <c r="L656">
        <f>IFERROR(INDEX(Sheet2!$D$2:$D$1132,MATCH(Sheet1!C656,$C$2:$C$1132,0)),"")</f>
        <v>70000</v>
      </c>
      <c r="M656" t="str">
        <f>IFERROR(INDEX($M$2:$M$1132,MATCH(B656,$B$2:$B$1132,0)),"")</f>
        <v>SQL, EXCEL, POWERBI, TABLEAU</v>
      </c>
      <c r="N656" t="s">
        <v>74</v>
      </c>
      <c r="O656" t="s">
        <v>37</v>
      </c>
    </row>
    <row r="657" spans="1:15" x14ac:dyDescent="0.25">
      <c r="A657">
        <v>18505</v>
      </c>
      <c r="B657" t="s">
        <v>14</v>
      </c>
      <c r="C657" t="s">
        <v>30</v>
      </c>
      <c r="D657" t="str">
        <f>IFERROR(INDEX(Sheet2!$B$2:$B$1132,MATCH(Sheet1!C657,Sheet1!$C$2:$C$1132,0)),"IDK")</f>
        <v>IT</v>
      </c>
      <c r="E657" t="s">
        <v>48</v>
      </c>
      <c r="F657" t="s">
        <v>54</v>
      </c>
      <c r="G657" s="1">
        <v>45326</v>
      </c>
      <c r="H657" t="s">
        <v>60</v>
      </c>
      <c r="I657" s="3" t="s">
        <v>174</v>
      </c>
      <c r="J657" s="3" t="s">
        <v>174</v>
      </c>
      <c r="K657">
        <f>IFERROR(INDEX(Sheet2!$C$2:$C$1132,MATCH(Sheet1!C657,Sheet1!$C$2:$C$1132,0)),"")</f>
        <v>25000</v>
      </c>
      <c r="L657">
        <f>IFERROR(INDEX(Sheet2!$D$2:$D$1132,MATCH(Sheet1!C657,$C$2:$C$1132,0)),"")</f>
        <v>60000</v>
      </c>
      <c r="M657" t="str">
        <f>IFERROR(INDEX($M$2:$M$1132,MATCH(B657,$B$2:$B$1132,0)),"")</f>
        <v>SQL, EXCEL, POWERBI, TABLEAU</v>
      </c>
      <c r="N657" t="s">
        <v>74</v>
      </c>
      <c r="O657" t="s">
        <v>37</v>
      </c>
    </row>
    <row r="658" spans="1:15" x14ac:dyDescent="0.25">
      <c r="A658">
        <v>18506</v>
      </c>
      <c r="B658" t="s">
        <v>14</v>
      </c>
      <c r="C658" t="s">
        <v>31</v>
      </c>
      <c r="D658" t="str">
        <f>IFERROR(INDEX(Sheet2!$B$2:$B$1132,MATCH(Sheet1!C658,Sheet1!$C$2:$C$1132,0)),"IDK")</f>
        <v>IT</v>
      </c>
      <c r="E658" t="s">
        <v>48</v>
      </c>
      <c r="F658" t="s">
        <v>54</v>
      </c>
      <c r="G658" s="1">
        <v>45640</v>
      </c>
      <c r="H658" t="s">
        <v>60</v>
      </c>
      <c r="I658" s="2" t="s">
        <v>175</v>
      </c>
      <c r="J658" s="2" t="s">
        <v>175</v>
      </c>
      <c r="K658">
        <f>IFERROR(INDEX(Sheet2!$C$2:$C$1132,MATCH(Sheet1!C658,Sheet1!$C$2:$C$1132,0)),"")</f>
        <v>25000</v>
      </c>
      <c r="L658">
        <f>IFERROR(INDEX(Sheet2!$D$2:$D$1132,MATCH(Sheet1!C658,$C$2:$C$1132,0)),"")</f>
        <v>75000</v>
      </c>
      <c r="M658" t="str">
        <f>IFERROR(INDEX($M$2:$M$1132,MATCH(B658,$B$2:$B$1132,0)),"")</f>
        <v>SQL, EXCEL, POWERBI, TABLEAU</v>
      </c>
      <c r="N658" t="s">
        <v>74</v>
      </c>
      <c r="O658" t="s">
        <v>37</v>
      </c>
    </row>
    <row r="659" spans="1:15" x14ac:dyDescent="0.25">
      <c r="A659">
        <v>18507</v>
      </c>
      <c r="B659" t="s">
        <v>14</v>
      </c>
      <c r="C659" t="s">
        <v>32</v>
      </c>
      <c r="D659" t="str">
        <f>IFERROR(INDEX(Sheet2!$B$2:$B$1132,MATCH(Sheet1!C659,Sheet1!$C$2:$C$1132,0)),"IDK")</f>
        <v>SOCIAL</v>
      </c>
      <c r="E659" t="s">
        <v>48</v>
      </c>
      <c r="F659" t="s">
        <v>54</v>
      </c>
      <c r="G659" s="1">
        <v>45430</v>
      </c>
      <c r="H659" t="s">
        <v>60</v>
      </c>
      <c r="I659" s="2" t="s">
        <v>176</v>
      </c>
      <c r="J659" s="2" t="s">
        <v>177</v>
      </c>
      <c r="K659">
        <f>IFERROR(INDEX(Sheet2!$C$2:$C$1132,MATCH(Sheet1!C659,Sheet1!$C$2:$C$1132,0)),"")</f>
        <v>20000</v>
      </c>
      <c r="L659">
        <f>IFERROR(INDEX(Sheet2!$D$2:$D$1132,MATCH(Sheet1!C659,$C$2:$C$1132,0)),"")</f>
        <v>70000</v>
      </c>
      <c r="M659" t="str">
        <f>IFERROR(INDEX($M$2:$M$1132,MATCH(B659,$B$2:$B$1132,0)),"")</f>
        <v>SQL, EXCEL, POWERBI, TABLEAU</v>
      </c>
      <c r="N659" t="s">
        <v>74</v>
      </c>
      <c r="O659" t="s">
        <v>37</v>
      </c>
    </row>
    <row r="660" spans="1:15" x14ac:dyDescent="0.25">
      <c r="A660">
        <v>18508</v>
      </c>
      <c r="B660" t="s">
        <v>14</v>
      </c>
      <c r="C660" t="s">
        <v>33</v>
      </c>
      <c r="D660" t="str">
        <f>IFERROR(INDEX(Sheet2!$B$2:$B$1132,MATCH(Sheet1!C660,Sheet1!$C$2:$C$1132,0)),"IDK")</f>
        <v>FINANCE</v>
      </c>
      <c r="E660" t="s">
        <v>48</v>
      </c>
      <c r="F660" t="s">
        <v>54</v>
      </c>
      <c r="G660" s="1">
        <v>45549</v>
      </c>
      <c r="H660" t="s">
        <v>60</v>
      </c>
      <c r="I660" s="2" t="s">
        <v>178</v>
      </c>
      <c r="J660" s="2" t="s">
        <v>179</v>
      </c>
      <c r="K660">
        <f>IFERROR(INDEX(Sheet2!$C$2:$C$1132,MATCH(Sheet1!C660,Sheet1!$C$2:$C$1132,0)),"")</f>
        <v>40000</v>
      </c>
      <c r="L660">
        <f>IFERROR(INDEX(Sheet2!$D$2:$D$1132,MATCH(Sheet1!C660,$C$2:$C$1132,0)),"")</f>
        <v>85000</v>
      </c>
      <c r="M660" t="str">
        <f>IFERROR(INDEX($M$2:$M$1132,MATCH(B660,$B$2:$B$1132,0)),"")</f>
        <v>SQL, EXCEL, POWERBI, TABLEAU</v>
      </c>
      <c r="N660" t="s">
        <v>74</v>
      </c>
      <c r="O660" t="s">
        <v>37</v>
      </c>
    </row>
    <row r="661" spans="1:15" x14ac:dyDescent="0.25">
      <c r="A661">
        <v>18509</v>
      </c>
      <c r="B661" t="s">
        <v>14</v>
      </c>
      <c r="C661" t="s">
        <v>34</v>
      </c>
      <c r="D661" t="str">
        <f>IFERROR(INDEX(Sheet2!$B$2:$B$1132,MATCH(Sheet1!C661,Sheet1!$C$2:$C$1132,0)),"IDK")</f>
        <v>IT</v>
      </c>
      <c r="E661" t="s">
        <v>48</v>
      </c>
      <c r="F661" t="s">
        <v>54</v>
      </c>
      <c r="G661" s="1">
        <v>45459</v>
      </c>
      <c r="H661" t="s">
        <v>60</v>
      </c>
      <c r="I661" s="2" t="s">
        <v>173</v>
      </c>
      <c r="J661" s="2" t="s">
        <v>173</v>
      </c>
      <c r="K661">
        <f>IFERROR(INDEX(Sheet2!$C$2:$C$1132,MATCH(Sheet1!C661,Sheet1!$C$2:$C$1132,0)),"")</f>
        <v>35000</v>
      </c>
      <c r="L661">
        <f>IFERROR(INDEX(Sheet2!$D$2:$D$1132,MATCH(Sheet1!C661,$C$2:$C$1132,0)),"")</f>
        <v>90000</v>
      </c>
      <c r="M661" t="str">
        <f>IFERROR(INDEX($M$2:$M$1132,MATCH(B661,$B$2:$B$1132,0)),"")</f>
        <v>SQL, EXCEL, POWERBI, TABLEAU</v>
      </c>
      <c r="N661" t="s">
        <v>74</v>
      </c>
      <c r="O661" t="s">
        <v>37</v>
      </c>
    </row>
    <row r="662" spans="1:15" x14ac:dyDescent="0.25">
      <c r="A662">
        <v>18510</v>
      </c>
      <c r="B662" t="s">
        <v>14</v>
      </c>
      <c r="C662" t="s">
        <v>35</v>
      </c>
      <c r="D662" t="str">
        <f>IFERROR(INDEX(Sheet2!$B$2:$B$1132,MATCH(Sheet1!C662,Sheet1!$C$2:$C$1132,0)),"IDK")</f>
        <v>SOCIAL</v>
      </c>
      <c r="E662" t="s">
        <v>48</v>
      </c>
      <c r="F662" t="s">
        <v>54</v>
      </c>
      <c r="G662" s="1">
        <v>45435</v>
      </c>
      <c r="H662" t="s">
        <v>60</v>
      </c>
      <c r="I662" s="3" t="s">
        <v>174</v>
      </c>
      <c r="J662" s="3" t="s">
        <v>174</v>
      </c>
      <c r="K662">
        <f>IFERROR(INDEX(Sheet2!$C$2:$C$1132,MATCH(Sheet1!C662,Sheet1!$C$2:$C$1132,0)),"")</f>
        <v>30000</v>
      </c>
      <c r="L662">
        <f>IFERROR(INDEX(Sheet2!$D$2:$D$1132,MATCH(Sheet1!C662,$C$2:$C$1132,0)),"")</f>
        <v>95000</v>
      </c>
      <c r="M662" t="str">
        <f>IFERROR(INDEX($M$2:$M$1132,MATCH(B662,$B$2:$B$1132,0)),"")</f>
        <v>SQL, EXCEL, POWERBI, TABLEAU</v>
      </c>
      <c r="N662" t="s">
        <v>74</v>
      </c>
      <c r="O662" t="s">
        <v>37</v>
      </c>
    </row>
    <row r="663" spans="1:15" x14ac:dyDescent="0.25">
      <c r="A663">
        <v>18511</v>
      </c>
      <c r="B663" t="s">
        <v>14</v>
      </c>
      <c r="C663" t="s">
        <v>36</v>
      </c>
      <c r="D663" t="str">
        <f>IFERROR(INDEX(Sheet2!$B$2:$B$1132,MATCH(Sheet1!C663,Sheet1!$C$2:$C$1132,0)),"IDK")</f>
        <v>IT</v>
      </c>
      <c r="E663" t="s">
        <v>48</v>
      </c>
      <c r="F663" t="s">
        <v>54</v>
      </c>
      <c r="G663" s="1">
        <v>45604</v>
      </c>
      <c r="H663" t="s">
        <v>60</v>
      </c>
      <c r="I663" s="2" t="s">
        <v>175</v>
      </c>
      <c r="J663" s="2" t="s">
        <v>175</v>
      </c>
      <c r="K663">
        <f>IFERROR(INDEX(Sheet2!$C$2:$C$1132,MATCH(Sheet1!C663,Sheet1!$C$2:$C$1132,0)),"")</f>
        <v>50000</v>
      </c>
      <c r="L663">
        <f>IFERROR(INDEX(Sheet2!$D$2:$D$1132,MATCH(Sheet1!C663,$C$2:$C$1132,0)),"")</f>
        <v>100000</v>
      </c>
      <c r="M663" t="str">
        <f>IFERROR(INDEX($M$2:$M$1132,MATCH(B663,$B$2:$B$1132,0)),"")</f>
        <v>SQL, EXCEL, POWERBI, TABLEAU</v>
      </c>
      <c r="N663" t="s">
        <v>75</v>
      </c>
      <c r="O663" t="s">
        <v>37</v>
      </c>
    </row>
    <row r="664" spans="1:15" x14ac:dyDescent="0.25">
      <c r="A664">
        <v>18512</v>
      </c>
      <c r="B664" t="s">
        <v>14</v>
      </c>
      <c r="C664" t="s">
        <v>27</v>
      </c>
      <c r="D664" t="str">
        <f>IFERROR(INDEX(Sheet2!$B$2:$B$1132,MATCH(Sheet1!C664,Sheet1!$C$2:$C$1132,0)),"IDK")</f>
        <v>IT</v>
      </c>
      <c r="E664" t="s">
        <v>48</v>
      </c>
      <c r="F664" t="s">
        <v>54</v>
      </c>
      <c r="G664" s="1">
        <v>45355</v>
      </c>
      <c r="H664" t="s">
        <v>60</v>
      </c>
      <c r="I664" s="2" t="s">
        <v>176</v>
      </c>
      <c r="J664" s="2" t="s">
        <v>177</v>
      </c>
      <c r="K664">
        <f>IFERROR(INDEX(Sheet2!$C$2:$C$1132,MATCH(Sheet1!C664,Sheet1!$C$2:$C$1132,0)),"")</f>
        <v>40000</v>
      </c>
      <c r="L664">
        <f>IFERROR(INDEX(Sheet2!$D$2:$D$1132,MATCH(Sheet1!C664,$C$2:$C$1132,0)),"")</f>
        <v>80000</v>
      </c>
      <c r="M664" t="str">
        <f>IFERROR(INDEX($M$2:$M$1132,MATCH(B664,$B$2:$B$1132,0)),"")</f>
        <v>SQL, EXCEL, POWERBI, TABLEAU</v>
      </c>
      <c r="N664" t="s">
        <v>75</v>
      </c>
      <c r="O664" t="s">
        <v>37</v>
      </c>
    </row>
    <row r="665" spans="1:15" x14ac:dyDescent="0.25">
      <c r="A665">
        <v>18513</v>
      </c>
      <c r="B665" t="s">
        <v>14</v>
      </c>
      <c r="C665" t="s">
        <v>28</v>
      </c>
      <c r="D665" t="str">
        <f>IFERROR(INDEX(Sheet2!$B$2:$B$1132,MATCH(Sheet1!C665,Sheet1!$C$2:$C$1132,0)),"IDK")</f>
        <v>IT</v>
      </c>
      <c r="E665" t="s">
        <v>48</v>
      </c>
      <c r="F665" t="s">
        <v>54</v>
      </c>
      <c r="G665" s="1">
        <v>45555</v>
      </c>
      <c r="H665" t="s">
        <v>60</v>
      </c>
      <c r="I665" s="2" t="s">
        <v>178</v>
      </c>
      <c r="J665" s="2" t="s">
        <v>179</v>
      </c>
      <c r="K665">
        <f>IFERROR(INDEX(Sheet2!$C$2:$C$1132,MATCH(Sheet1!C665,Sheet1!$C$2:$C$1132,0)),"")</f>
        <v>30000</v>
      </c>
      <c r="L665">
        <f>IFERROR(INDEX(Sheet2!$D$2:$D$1132,MATCH(Sheet1!C665,$C$2:$C$1132,0)),"")</f>
        <v>55000</v>
      </c>
      <c r="M665" t="str">
        <f>IFERROR(INDEX($M$2:$M$1132,MATCH(B665,$B$2:$B$1132,0)),"")</f>
        <v>SQL, EXCEL, POWERBI, TABLEAU</v>
      </c>
      <c r="N665" t="s">
        <v>75</v>
      </c>
      <c r="O665" t="s">
        <v>37</v>
      </c>
    </row>
    <row r="666" spans="1:15" x14ac:dyDescent="0.25">
      <c r="A666">
        <v>18514</v>
      </c>
      <c r="B666" t="s">
        <v>14</v>
      </c>
      <c r="C666" t="s">
        <v>29</v>
      </c>
      <c r="D666" t="str">
        <f>IFERROR(INDEX(Sheet2!$B$2:$B$1132,MATCH(Sheet1!C666,Sheet1!$C$2:$C$1132,0)),"IDK")</f>
        <v>IT</v>
      </c>
      <c r="E666" t="s">
        <v>48</v>
      </c>
      <c r="F666" t="s">
        <v>54</v>
      </c>
      <c r="G666" s="1">
        <v>45639</v>
      </c>
      <c r="H666" t="s">
        <v>60</v>
      </c>
      <c r="I666" s="3" t="s">
        <v>174</v>
      </c>
      <c r="J666" s="3" t="s">
        <v>174</v>
      </c>
      <c r="K666">
        <f>IFERROR(INDEX(Sheet2!$C$2:$C$1132,MATCH(Sheet1!C666,Sheet1!$C$2:$C$1132,0)),"")</f>
        <v>35000</v>
      </c>
      <c r="L666">
        <f>IFERROR(INDEX(Sheet2!$D$2:$D$1132,MATCH(Sheet1!C666,$C$2:$C$1132,0)),"")</f>
        <v>70000</v>
      </c>
      <c r="M666" t="str">
        <f>IFERROR(INDEX($M$2:$M$1132,MATCH(B666,$B$2:$B$1132,0)),"")</f>
        <v>SQL, EXCEL, POWERBI, TABLEAU</v>
      </c>
      <c r="N666" t="s">
        <v>75</v>
      </c>
      <c r="O666" t="s">
        <v>37</v>
      </c>
    </row>
    <row r="667" spans="1:15" x14ac:dyDescent="0.25">
      <c r="A667">
        <v>18515</v>
      </c>
      <c r="B667" t="s">
        <v>14</v>
      </c>
      <c r="C667" t="s">
        <v>23</v>
      </c>
      <c r="D667" t="str">
        <f>IFERROR(INDEX(Sheet2!$B$2:$B$1132,MATCH(Sheet1!C667,Sheet1!$C$2:$C$1132,0)),"IDK")</f>
        <v>IT</v>
      </c>
      <c r="E667" t="s">
        <v>48</v>
      </c>
      <c r="F667" t="s">
        <v>54</v>
      </c>
      <c r="G667" s="1">
        <v>45589</v>
      </c>
      <c r="H667" t="s">
        <v>59</v>
      </c>
      <c r="I667" s="2" t="s">
        <v>166</v>
      </c>
      <c r="J667" s="2" t="s">
        <v>167</v>
      </c>
      <c r="K667">
        <f>IFERROR(INDEX(Sheet2!$C$2:$C$1132,MATCH(Sheet1!C667,Sheet1!$C$2:$C$1132,0)),"")</f>
        <v>35000</v>
      </c>
      <c r="L667">
        <f>IFERROR(INDEX(Sheet2!$D$2:$D$1132,MATCH(Sheet1!C667,$C$2:$C$1132,0)),"")</f>
        <v>70000</v>
      </c>
      <c r="M667" t="str">
        <f>IFERROR(INDEX($M$2:$M$1132,MATCH(B667,$B$2:$B$1132,0)),"")</f>
        <v>SQL, EXCEL, POWERBI, TABLEAU</v>
      </c>
      <c r="N667" t="s">
        <v>75</v>
      </c>
      <c r="O667" t="s">
        <v>37</v>
      </c>
    </row>
    <row r="668" spans="1:15" x14ac:dyDescent="0.25">
      <c r="A668">
        <v>18516</v>
      </c>
      <c r="B668" t="s">
        <v>14</v>
      </c>
      <c r="C668" t="s">
        <v>30</v>
      </c>
      <c r="D668" t="str">
        <f>IFERROR(INDEX(Sheet2!$B$2:$B$1132,MATCH(Sheet1!C668,Sheet1!$C$2:$C$1132,0)),"IDK")</f>
        <v>IT</v>
      </c>
      <c r="E668" t="s">
        <v>48</v>
      </c>
      <c r="F668" t="s">
        <v>54</v>
      </c>
      <c r="G668" s="1">
        <v>45477</v>
      </c>
      <c r="H668" t="s">
        <v>59</v>
      </c>
      <c r="I668" s="2" t="s">
        <v>168</v>
      </c>
      <c r="J668" s="2" t="s">
        <v>169</v>
      </c>
      <c r="K668">
        <f>IFERROR(INDEX(Sheet2!$C$2:$C$1132,MATCH(Sheet1!C668,Sheet1!$C$2:$C$1132,0)),"")</f>
        <v>25000</v>
      </c>
      <c r="L668">
        <f>IFERROR(INDEX(Sheet2!$D$2:$D$1132,MATCH(Sheet1!C668,$C$2:$C$1132,0)),"")</f>
        <v>60000</v>
      </c>
      <c r="M668" t="str">
        <f>IFERROR(INDEX($M$2:$M$1132,MATCH(B668,$B$2:$B$1132,0)),"")</f>
        <v>SQL, EXCEL, POWERBI, TABLEAU</v>
      </c>
      <c r="N668" t="s">
        <v>75</v>
      </c>
      <c r="O668" t="s">
        <v>37</v>
      </c>
    </row>
    <row r="669" spans="1:15" x14ac:dyDescent="0.25">
      <c r="A669">
        <v>18517</v>
      </c>
      <c r="B669" t="s">
        <v>15</v>
      </c>
      <c r="C669" t="s">
        <v>31</v>
      </c>
      <c r="D669" t="str">
        <f>IFERROR(INDEX(Sheet2!$B$2:$B$1132,MATCH(Sheet1!C669,Sheet1!$C$2:$C$1132,0)),"IDK")</f>
        <v>IT</v>
      </c>
      <c r="E669" t="s">
        <v>48</v>
      </c>
      <c r="F669" t="s">
        <v>54</v>
      </c>
      <c r="G669" s="1">
        <v>45483</v>
      </c>
      <c r="H669" t="s">
        <v>59</v>
      </c>
      <c r="I669" s="2" t="s">
        <v>161</v>
      </c>
      <c r="J669" s="2" t="s">
        <v>162</v>
      </c>
      <c r="K669">
        <f>IFERROR(INDEX(Sheet2!$C$2:$C$1132,MATCH(Sheet1!C669,Sheet1!$C$2:$C$1132,0)),"")</f>
        <v>25000</v>
      </c>
      <c r="L669">
        <f>IFERROR(INDEX(Sheet2!$D$2:$D$1132,MATCH(Sheet1!C669,$C$2:$C$1132,0)),"")</f>
        <v>75000</v>
      </c>
      <c r="M669" t="str">
        <f>IFERROR(INDEX($M$2:$M$1132,MATCH(B669,$B$2:$B$1132,0)),"")</f>
        <v>SQL, PYTHON, AWS, SPARK, ETL</v>
      </c>
      <c r="N669" t="s">
        <v>75</v>
      </c>
      <c r="O669" t="s">
        <v>37</v>
      </c>
    </row>
    <row r="670" spans="1:15" x14ac:dyDescent="0.25">
      <c r="A670">
        <v>18518</v>
      </c>
      <c r="B670" t="s">
        <v>15</v>
      </c>
      <c r="C670" t="s">
        <v>32</v>
      </c>
      <c r="D670" t="str">
        <f>IFERROR(INDEX(Sheet2!$B$2:$B$1132,MATCH(Sheet1!C670,Sheet1!$C$2:$C$1132,0)),"IDK")</f>
        <v>SOCIAL</v>
      </c>
      <c r="E670" t="s">
        <v>48</v>
      </c>
      <c r="F670" t="s">
        <v>54</v>
      </c>
      <c r="G670" s="1">
        <v>45396</v>
      </c>
      <c r="H670" t="s">
        <v>59</v>
      </c>
      <c r="I670" s="2" t="s">
        <v>161</v>
      </c>
      <c r="J670" s="2" t="s">
        <v>163</v>
      </c>
      <c r="K670">
        <f>IFERROR(INDEX(Sheet2!$C$2:$C$1132,MATCH(Sheet1!C670,Sheet1!$C$2:$C$1132,0)),"")</f>
        <v>20000</v>
      </c>
      <c r="L670">
        <f>IFERROR(INDEX(Sheet2!$D$2:$D$1132,MATCH(Sheet1!C670,$C$2:$C$1132,0)),"")</f>
        <v>70000</v>
      </c>
      <c r="M670" t="str">
        <f>IFERROR(INDEX($M$2:$M$1132,MATCH(B670,$B$2:$B$1132,0)),"")</f>
        <v>SQL, PYTHON, AWS, SPARK, ETL</v>
      </c>
      <c r="N670" t="s">
        <v>75</v>
      </c>
      <c r="O670" t="s">
        <v>37</v>
      </c>
    </row>
    <row r="671" spans="1:15" x14ac:dyDescent="0.25">
      <c r="A671">
        <v>18519</v>
      </c>
      <c r="B671" t="s">
        <v>15</v>
      </c>
      <c r="C671" t="s">
        <v>33</v>
      </c>
      <c r="D671" t="str">
        <f>IFERROR(INDEX(Sheet2!$B$2:$B$1132,MATCH(Sheet1!C671,Sheet1!$C$2:$C$1132,0)),"IDK")</f>
        <v>FINANCE</v>
      </c>
      <c r="E671" t="s">
        <v>48</v>
      </c>
      <c r="F671" t="s">
        <v>54</v>
      </c>
      <c r="G671" s="1">
        <v>45486</v>
      </c>
      <c r="H671" t="s">
        <v>59</v>
      </c>
      <c r="I671" s="2" t="s">
        <v>164</v>
      </c>
      <c r="J671" s="2" t="s">
        <v>165</v>
      </c>
      <c r="K671">
        <f>IFERROR(INDEX(Sheet2!$C$2:$C$1132,MATCH(Sheet1!C671,Sheet1!$C$2:$C$1132,0)),"")</f>
        <v>40000</v>
      </c>
      <c r="L671">
        <f>IFERROR(INDEX(Sheet2!$D$2:$D$1132,MATCH(Sheet1!C671,$C$2:$C$1132,0)),"")</f>
        <v>85000</v>
      </c>
      <c r="M671" t="str">
        <f>IFERROR(INDEX($M$2:$M$1132,MATCH(B671,$B$2:$B$1132,0)),"")</f>
        <v>SQL, PYTHON, AWS, SPARK, ETL</v>
      </c>
      <c r="N671" t="s">
        <v>75</v>
      </c>
      <c r="O671" t="s">
        <v>37</v>
      </c>
    </row>
    <row r="672" spans="1:15" x14ac:dyDescent="0.25">
      <c r="A672">
        <v>18520</v>
      </c>
      <c r="B672" t="s">
        <v>15</v>
      </c>
      <c r="C672" t="s">
        <v>23</v>
      </c>
      <c r="D672" t="str">
        <f>IFERROR(INDEX(Sheet2!$B$2:$B$1132,MATCH(Sheet1!C672,Sheet1!$C$2:$C$1132,0)),"IDK")</f>
        <v>IT</v>
      </c>
      <c r="E672" t="s">
        <v>48</v>
      </c>
      <c r="F672" t="s">
        <v>54</v>
      </c>
      <c r="G672" s="1">
        <v>45319</v>
      </c>
      <c r="H672" t="s">
        <v>59</v>
      </c>
      <c r="I672" s="2" t="s">
        <v>166</v>
      </c>
      <c r="J672" s="2" t="s">
        <v>167</v>
      </c>
      <c r="K672">
        <f>IFERROR(INDEX(Sheet2!$C$2:$C$1132,MATCH(Sheet1!C672,Sheet1!$C$2:$C$1132,0)),"")</f>
        <v>35000</v>
      </c>
      <c r="L672">
        <f>IFERROR(INDEX(Sheet2!$D$2:$D$1132,MATCH(Sheet1!C672,$C$2:$C$1132,0)),"")</f>
        <v>70000</v>
      </c>
      <c r="M672" t="str">
        <f>IFERROR(INDEX($M$2:$M$1132,MATCH(B672,$B$2:$B$1132,0)),"")</f>
        <v>SQL, PYTHON, AWS, SPARK, ETL</v>
      </c>
      <c r="N672" t="s">
        <v>76</v>
      </c>
      <c r="O672" t="s">
        <v>37</v>
      </c>
    </row>
    <row r="673" spans="1:15" x14ac:dyDescent="0.25">
      <c r="A673">
        <v>18521</v>
      </c>
      <c r="B673" t="s">
        <v>15</v>
      </c>
      <c r="C673" t="s">
        <v>24</v>
      </c>
      <c r="D673" t="str">
        <f>IFERROR(INDEX(Sheet2!$B$2:$B$1132,MATCH(Sheet1!C673,Sheet1!$C$2:$C$1132,0)),"IDK")</f>
        <v>HEALTH</v>
      </c>
      <c r="E673" t="s">
        <v>48</v>
      </c>
      <c r="F673" t="s">
        <v>54</v>
      </c>
      <c r="G673" s="1">
        <v>45563</v>
      </c>
      <c r="H673" t="s">
        <v>59</v>
      </c>
      <c r="I673" s="2" t="s">
        <v>168</v>
      </c>
      <c r="J673" s="2" t="s">
        <v>169</v>
      </c>
      <c r="K673">
        <f>IFERROR(INDEX(Sheet2!$C$2:$C$1132,MATCH(Sheet1!C673,Sheet1!$C$2:$C$1132,0)),"")</f>
        <v>25000</v>
      </c>
      <c r="L673">
        <f>IFERROR(INDEX(Sheet2!$D$2:$D$1132,MATCH(Sheet1!C673,$C$2:$C$1132,0)),"")</f>
        <v>50000</v>
      </c>
      <c r="M673" t="str">
        <f>IFERROR(INDEX($M$2:$M$1132,MATCH(B673,$B$2:$B$1132,0)),"")</f>
        <v>SQL, PYTHON, AWS, SPARK, ETL</v>
      </c>
      <c r="N673" t="s">
        <v>76</v>
      </c>
      <c r="O673" t="s">
        <v>37</v>
      </c>
    </row>
    <row r="674" spans="1:15" x14ac:dyDescent="0.25">
      <c r="A674">
        <v>18522</v>
      </c>
      <c r="B674" t="s">
        <v>15</v>
      </c>
      <c r="C674" t="s">
        <v>25</v>
      </c>
      <c r="D674" t="str">
        <f>IFERROR(INDEX(Sheet2!$B$2:$B$1132,MATCH(Sheet1!C674,Sheet1!$C$2:$C$1132,0)),"IDK")</f>
        <v>SOCIAL</v>
      </c>
      <c r="E674" t="s">
        <v>48</v>
      </c>
      <c r="F674" t="s">
        <v>52</v>
      </c>
      <c r="G674" s="1">
        <v>45509</v>
      </c>
      <c r="H674" t="s">
        <v>59</v>
      </c>
      <c r="I674" s="2" t="s">
        <v>168</v>
      </c>
      <c r="J674" s="2" t="s">
        <v>170</v>
      </c>
      <c r="K674">
        <f>IFERROR(INDEX(Sheet2!$C$2:$C$1132,MATCH(Sheet1!C674,Sheet1!$C$2:$C$1132,0)),"")</f>
        <v>30000</v>
      </c>
      <c r="L674">
        <f>IFERROR(INDEX(Sheet2!$D$2:$D$1132,MATCH(Sheet1!C674,$C$2:$C$1132,0)),"")</f>
        <v>60000</v>
      </c>
      <c r="M674" t="str">
        <f>IFERROR(INDEX($M$2:$M$1132,MATCH(B674,$B$2:$B$1132,0)),"")</f>
        <v>SQL, PYTHON, AWS, SPARK, ETL</v>
      </c>
      <c r="N674" t="s">
        <v>76</v>
      </c>
      <c r="O674" t="s">
        <v>37</v>
      </c>
    </row>
    <row r="675" spans="1:15" x14ac:dyDescent="0.25">
      <c r="A675">
        <v>18523</v>
      </c>
      <c r="B675" t="s">
        <v>15</v>
      </c>
      <c r="C675" t="s">
        <v>26</v>
      </c>
      <c r="D675" t="str">
        <f>IFERROR(INDEX(Sheet2!$B$2:$B$1132,MATCH(Sheet1!C675,Sheet1!$C$2:$C$1132,0)),"IDK")</f>
        <v>FINANCE</v>
      </c>
      <c r="E675" t="s">
        <v>48</v>
      </c>
      <c r="F675" t="s">
        <v>52</v>
      </c>
      <c r="G675" s="1">
        <v>45603</v>
      </c>
      <c r="H675" t="s">
        <v>59</v>
      </c>
      <c r="I675" s="2" t="s">
        <v>171</v>
      </c>
      <c r="J675" s="2" t="s">
        <v>172</v>
      </c>
      <c r="K675">
        <f>IFERROR(INDEX(Sheet2!$C$2:$C$1132,MATCH(Sheet1!C675,Sheet1!$C$2:$C$1132,0)),"")</f>
        <v>35000</v>
      </c>
      <c r="L675">
        <f>IFERROR(INDEX(Sheet2!$D$2:$D$1132,MATCH(Sheet1!C675,$C$2:$C$1132,0)),"")</f>
        <v>75000</v>
      </c>
      <c r="M675" t="str">
        <f>IFERROR(INDEX($M$2:$M$1132,MATCH(B675,$B$2:$B$1132,0)),"")</f>
        <v>SQL, PYTHON, AWS, SPARK, ETL</v>
      </c>
      <c r="N675" t="s">
        <v>76</v>
      </c>
      <c r="O675" t="s">
        <v>37</v>
      </c>
    </row>
    <row r="676" spans="1:15" x14ac:dyDescent="0.25">
      <c r="A676">
        <v>18524</v>
      </c>
      <c r="B676" t="s">
        <v>15</v>
      </c>
      <c r="C676" t="s">
        <v>37</v>
      </c>
      <c r="D676" t="s">
        <v>43</v>
      </c>
      <c r="E676" t="s">
        <v>48</v>
      </c>
      <c r="F676" t="s">
        <v>52</v>
      </c>
      <c r="G676" s="1">
        <v>45544</v>
      </c>
      <c r="H676" t="s">
        <v>59</v>
      </c>
      <c r="I676" s="2" t="s">
        <v>161</v>
      </c>
      <c r="J676" s="2" t="s">
        <v>162</v>
      </c>
      <c r="K676">
        <v>45000</v>
      </c>
      <c r="L676">
        <v>90000</v>
      </c>
      <c r="M676" t="str">
        <f>IFERROR(INDEX($M$2:$M$1132,MATCH(B676,$B$2:$B$1132,0)),"")</f>
        <v>SQL, PYTHON, AWS, SPARK, ETL</v>
      </c>
      <c r="N676" t="s">
        <v>76</v>
      </c>
      <c r="O676" t="s">
        <v>37</v>
      </c>
    </row>
    <row r="677" spans="1:15" x14ac:dyDescent="0.25">
      <c r="A677">
        <v>18525</v>
      </c>
      <c r="B677" t="s">
        <v>15</v>
      </c>
      <c r="C677" t="s">
        <v>38</v>
      </c>
      <c r="D677" t="s">
        <v>42</v>
      </c>
      <c r="E677" t="s">
        <v>48</v>
      </c>
      <c r="F677" t="s">
        <v>52</v>
      </c>
      <c r="G677" s="1">
        <v>45367</v>
      </c>
      <c r="H677" t="s">
        <v>59</v>
      </c>
      <c r="I677" s="2" t="s">
        <v>161</v>
      </c>
      <c r="J677" s="2" t="s">
        <v>163</v>
      </c>
      <c r="K677">
        <v>20000</v>
      </c>
      <c r="L677">
        <v>80000</v>
      </c>
      <c r="M677" t="str">
        <f>IFERROR(INDEX($M$2:$M$1132,MATCH(B677,$B$2:$B$1132,0)),"")</f>
        <v>SQL, PYTHON, AWS, SPARK, ETL</v>
      </c>
      <c r="N677" t="s">
        <v>76</v>
      </c>
      <c r="O677" t="s">
        <v>37</v>
      </c>
    </row>
    <row r="678" spans="1:15" x14ac:dyDescent="0.25">
      <c r="A678">
        <v>18526</v>
      </c>
      <c r="B678" t="s">
        <v>15</v>
      </c>
      <c r="C678" t="s">
        <v>39</v>
      </c>
      <c r="D678" t="s">
        <v>42</v>
      </c>
      <c r="E678" t="s">
        <v>48</v>
      </c>
      <c r="F678" t="s">
        <v>52</v>
      </c>
      <c r="G678" s="1">
        <v>45623</v>
      </c>
      <c r="H678" t="s">
        <v>59</v>
      </c>
      <c r="I678" s="2" t="s">
        <v>164</v>
      </c>
      <c r="J678" s="2" t="s">
        <v>165</v>
      </c>
      <c r="K678">
        <v>25000</v>
      </c>
      <c r="L678">
        <v>85000</v>
      </c>
      <c r="M678" t="str">
        <f>IFERROR(INDEX($M$2:$M$1132,MATCH(B678,$B$2:$B$1132,0)),"")</f>
        <v>SQL, PYTHON, AWS, SPARK, ETL</v>
      </c>
      <c r="N678" t="s">
        <v>76</v>
      </c>
      <c r="O678" t="s">
        <v>37</v>
      </c>
    </row>
    <row r="679" spans="1:15" x14ac:dyDescent="0.25">
      <c r="A679">
        <v>18527</v>
      </c>
      <c r="B679" t="s">
        <v>15</v>
      </c>
      <c r="C679" t="s">
        <v>23</v>
      </c>
      <c r="D679" t="str">
        <f>IFERROR(INDEX(Sheet2!$B$2:$B$1132,MATCH(Sheet1!C679,Sheet1!$C$2:$C$1132,0)),"IDK")</f>
        <v>IT</v>
      </c>
      <c r="E679" t="s">
        <v>48</v>
      </c>
      <c r="F679" t="s">
        <v>52</v>
      </c>
      <c r="G679" s="1">
        <v>45358</v>
      </c>
      <c r="H679" t="s">
        <v>59</v>
      </c>
      <c r="I679" s="2" t="s">
        <v>166</v>
      </c>
      <c r="J679" s="2" t="s">
        <v>167</v>
      </c>
      <c r="K679">
        <f>IFERROR(INDEX(Sheet2!$C$2:$C$1132,MATCH(Sheet1!C679,Sheet1!$C$2:$C$1132,0)),"")</f>
        <v>35000</v>
      </c>
      <c r="L679">
        <f>IFERROR(INDEX(Sheet2!$D$2:$D$1132,MATCH(Sheet1!C679,$C$2:$C$1132,0)),"")</f>
        <v>70000</v>
      </c>
      <c r="M679" t="str">
        <f>IFERROR(INDEX($M$2:$M$1132,MATCH(B679,$B$2:$B$1132,0)),"")</f>
        <v>SQL, PYTHON, AWS, SPARK, ETL</v>
      </c>
      <c r="N679" t="s">
        <v>74</v>
      </c>
      <c r="O679" t="s">
        <v>37</v>
      </c>
    </row>
    <row r="680" spans="1:15" x14ac:dyDescent="0.25">
      <c r="A680">
        <v>18528</v>
      </c>
      <c r="B680" t="s">
        <v>15</v>
      </c>
      <c r="C680" t="s">
        <v>30</v>
      </c>
      <c r="D680" t="str">
        <f>IFERROR(INDEX(Sheet2!$B$2:$B$1132,MATCH(Sheet1!C680,Sheet1!$C$2:$C$1132,0)),"IDK")</f>
        <v>IT</v>
      </c>
      <c r="E680" t="s">
        <v>48</v>
      </c>
      <c r="F680" t="s">
        <v>52</v>
      </c>
      <c r="G680" s="1">
        <v>45426</v>
      </c>
      <c r="H680" t="s">
        <v>59</v>
      </c>
      <c r="I680" s="2" t="s">
        <v>168</v>
      </c>
      <c r="J680" s="2" t="s">
        <v>169</v>
      </c>
      <c r="K680">
        <f>IFERROR(INDEX(Sheet2!$C$2:$C$1132,MATCH(Sheet1!C680,Sheet1!$C$2:$C$1132,0)),"")</f>
        <v>25000</v>
      </c>
      <c r="L680">
        <f>IFERROR(INDEX(Sheet2!$D$2:$D$1132,MATCH(Sheet1!C680,$C$2:$C$1132,0)),"")</f>
        <v>60000</v>
      </c>
      <c r="M680" t="str">
        <f>IFERROR(INDEX($M$2:$M$1132,MATCH(B680,$B$2:$B$1132,0)),"")</f>
        <v>SQL, PYTHON, AWS, SPARK, ETL</v>
      </c>
      <c r="N680" t="s">
        <v>74</v>
      </c>
      <c r="O680" t="s">
        <v>37</v>
      </c>
    </row>
    <row r="681" spans="1:15" x14ac:dyDescent="0.25">
      <c r="A681">
        <v>18529</v>
      </c>
      <c r="B681" t="s">
        <v>15</v>
      </c>
      <c r="C681" t="s">
        <v>31</v>
      </c>
      <c r="D681" t="str">
        <f>IFERROR(INDEX(Sheet2!$B$2:$B$1132,MATCH(Sheet1!C681,Sheet1!$C$2:$C$1132,0)),"IDK")</f>
        <v>IT</v>
      </c>
      <c r="E681" t="s">
        <v>48</v>
      </c>
      <c r="F681" t="s">
        <v>52</v>
      </c>
      <c r="G681" s="1">
        <v>45612</v>
      </c>
      <c r="H681" t="s">
        <v>59</v>
      </c>
      <c r="I681" s="2" t="s">
        <v>168</v>
      </c>
      <c r="J681" s="2" t="s">
        <v>170</v>
      </c>
      <c r="K681">
        <f>IFERROR(INDEX(Sheet2!$C$2:$C$1132,MATCH(Sheet1!C681,Sheet1!$C$2:$C$1132,0)),"")</f>
        <v>25000</v>
      </c>
      <c r="L681">
        <f>IFERROR(INDEX(Sheet2!$D$2:$D$1132,MATCH(Sheet1!C681,$C$2:$C$1132,0)),"")</f>
        <v>75000</v>
      </c>
      <c r="M681" t="str">
        <f>IFERROR(INDEX($M$2:$M$1132,MATCH(B681,$B$2:$B$1132,0)),"")</f>
        <v>SQL, PYTHON, AWS, SPARK, ETL</v>
      </c>
      <c r="N681" t="s">
        <v>74</v>
      </c>
      <c r="O681" t="s">
        <v>37</v>
      </c>
    </row>
    <row r="682" spans="1:15" x14ac:dyDescent="0.25">
      <c r="A682">
        <v>18530</v>
      </c>
      <c r="B682" t="s">
        <v>15</v>
      </c>
      <c r="C682" t="s">
        <v>32</v>
      </c>
      <c r="D682" t="str">
        <f>IFERROR(INDEX(Sheet2!$B$2:$B$1132,MATCH(Sheet1!C682,Sheet1!$C$2:$C$1132,0)),"IDK")</f>
        <v>SOCIAL</v>
      </c>
      <c r="E682" t="s">
        <v>48</v>
      </c>
      <c r="F682" t="s">
        <v>52</v>
      </c>
      <c r="G682" s="1">
        <v>45299</v>
      </c>
      <c r="H682" t="s">
        <v>59</v>
      </c>
      <c r="I682" s="2" t="s">
        <v>171</v>
      </c>
      <c r="J682" s="2" t="s">
        <v>172</v>
      </c>
      <c r="K682">
        <f>IFERROR(INDEX(Sheet2!$C$2:$C$1132,MATCH(Sheet1!C682,Sheet1!$C$2:$C$1132,0)),"")</f>
        <v>20000</v>
      </c>
      <c r="L682">
        <f>IFERROR(INDEX(Sheet2!$D$2:$D$1132,MATCH(Sheet1!C682,$C$2:$C$1132,0)),"")</f>
        <v>70000</v>
      </c>
      <c r="M682" t="str">
        <f>IFERROR(INDEX($M$2:$M$1132,MATCH(B682,$B$2:$B$1132,0)),"")</f>
        <v>SQL, PYTHON, AWS, SPARK, ETL</v>
      </c>
      <c r="N682" t="s">
        <v>74</v>
      </c>
      <c r="O682" t="s">
        <v>37</v>
      </c>
    </row>
    <row r="683" spans="1:15" x14ac:dyDescent="0.25">
      <c r="A683">
        <v>18531</v>
      </c>
      <c r="B683" t="s">
        <v>15</v>
      </c>
      <c r="C683" t="s">
        <v>33</v>
      </c>
      <c r="D683" t="str">
        <f>IFERROR(INDEX(Sheet2!$B$2:$B$1132,MATCH(Sheet1!C683,Sheet1!$C$2:$C$1132,0)),"IDK")</f>
        <v>FINANCE</v>
      </c>
      <c r="E683" t="s">
        <v>48</v>
      </c>
      <c r="F683" t="s">
        <v>52</v>
      </c>
      <c r="G683" s="1">
        <v>45417</v>
      </c>
      <c r="H683" t="s">
        <v>59</v>
      </c>
      <c r="I683" s="2" t="s">
        <v>161</v>
      </c>
      <c r="J683" s="2" t="s">
        <v>162</v>
      </c>
      <c r="K683">
        <f>IFERROR(INDEX(Sheet2!$C$2:$C$1132,MATCH(Sheet1!C683,Sheet1!$C$2:$C$1132,0)),"")</f>
        <v>40000</v>
      </c>
      <c r="L683">
        <f>IFERROR(INDEX(Sheet2!$D$2:$D$1132,MATCH(Sheet1!C683,$C$2:$C$1132,0)),"")</f>
        <v>85000</v>
      </c>
      <c r="M683" t="str">
        <f>IFERROR(INDEX($M$2:$M$1132,MATCH(B683,$B$2:$B$1132,0)),"")</f>
        <v>SQL, PYTHON, AWS, SPARK, ETL</v>
      </c>
      <c r="N683" t="s">
        <v>74</v>
      </c>
      <c r="O683" t="s">
        <v>37</v>
      </c>
    </row>
    <row r="684" spans="1:15" x14ac:dyDescent="0.25">
      <c r="A684">
        <v>18532</v>
      </c>
      <c r="B684" t="s">
        <v>15</v>
      </c>
      <c r="C684" t="s">
        <v>23</v>
      </c>
      <c r="D684" t="str">
        <f>IFERROR(INDEX(Sheet2!$B$2:$B$1132,MATCH(Sheet1!C684,Sheet1!$C$2:$C$1132,0)),"IDK")</f>
        <v>IT</v>
      </c>
      <c r="E684" t="s">
        <v>48</v>
      </c>
      <c r="F684" t="s">
        <v>52</v>
      </c>
      <c r="G684" s="1">
        <v>45553</v>
      </c>
      <c r="H684" t="s">
        <v>59</v>
      </c>
      <c r="I684" s="2" t="s">
        <v>161</v>
      </c>
      <c r="J684" s="2" t="s">
        <v>163</v>
      </c>
      <c r="K684">
        <f>IFERROR(INDEX(Sheet2!$C$2:$C$1132,MATCH(Sheet1!C684,Sheet1!$C$2:$C$1132,0)),"")</f>
        <v>35000</v>
      </c>
      <c r="L684">
        <f>IFERROR(INDEX(Sheet2!$D$2:$D$1132,MATCH(Sheet1!C684,$C$2:$C$1132,0)),"")</f>
        <v>70000</v>
      </c>
      <c r="M684" t="str">
        <f>IFERROR(INDEX($M$2:$M$1132,MATCH(B684,$B$2:$B$1132,0)),"")</f>
        <v>SQL, PYTHON, AWS, SPARK, ETL</v>
      </c>
      <c r="N684" t="s">
        <v>74</v>
      </c>
      <c r="O684" t="s">
        <v>37</v>
      </c>
    </row>
    <row r="685" spans="1:15" x14ac:dyDescent="0.25">
      <c r="A685">
        <v>18533</v>
      </c>
      <c r="B685" t="s">
        <v>15</v>
      </c>
      <c r="C685" t="s">
        <v>24</v>
      </c>
      <c r="D685" t="str">
        <f>IFERROR(INDEX(Sheet2!$B$2:$B$1132,MATCH(Sheet1!C685,Sheet1!$C$2:$C$1132,0)),"IDK")</f>
        <v>HEALTH</v>
      </c>
      <c r="E685" t="s">
        <v>48</v>
      </c>
      <c r="F685" t="s">
        <v>52</v>
      </c>
      <c r="G685" s="1">
        <v>45421</v>
      </c>
      <c r="H685" t="s">
        <v>59</v>
      </c>
      <c r="I685" s="2" t="s">
        <v>164</v>
      </c>
      <c r="J685" s="2" t="s">
        <v>165</v>
      </c>
      <c r="K685">
        <f>IFERROR(INDEX(Sheet2!$C$2:$C$1132,MATCH(Sheet1!C685,Sheet1!$C$2:$C$1132,0)),"")</f>
        <v>25000</v>
      </c>
      <c r="L685">
        <f>IFERROR(INDEX(Sheet2!$D$2:$D$1132,MATCH(Sheet1!C685,$C$2:$C$1132,0)),"")</f>
        <v>50000</v>
      </c>
      <c r="M685" t="str">
        <f>IFERROR(INDEX($M$2:$M$1132,MATCH(B685,$B$2:$B$1132,0)),"")</f>
        <v>SQL, PYTHON, AWS, SPARK, ETL</v>
      </c>
      <c r="N685" t="s">
        <v>74</v>
      </c>
      <c r="O685" t="s">
        <v>37</v>
      </c>
    </row>
    <row r="686" spans="1:15" x14ac:dyDescent="0.25">
      <c r="A686">
        <v>18534</v>
      </c>
      <c r="B686" t="s">
        <v>15</v>
      </c>
      <c r="C686" t="s">
        <v>25</v>
      </c>
      <c r="D686" t="str">
        <f>IFERROR(INDEX(Sheet2!$B$2:$B$1132,MATCH(Sheet1!C686,Sheet1!$C$2:$C$1132,0)),"IDK")</f>
        <v>SOCIAL</v>
      </c>
      <c r="E686" t="s">
        <v>48</v>
      </c>
      <c r="F686" t="s">
        <v>52</v>
      </c>
      <c r="G686" s="1">
        <v>45537</v>
      </c>
      <c r="H686" t="s">
        <v>59</v>
      </c>
      <c r="I686" s="2" t="s">
        <v>166</v>
      </c>
      <c r="J686" s="2" t="s">
        <v>167</v>
      </c>
      <c r="K686">
        <f>IFERROR(INDEX(Sheet2!$C$2:$C$1132,MATCH(Sheet1!C686,Sheet1!$C$2:$C$1132,0)),"")</f>
        <v>30000</v>
      </c>
      <c r="L686">
        <f>IFERROR(INDEX(Sheet2!$D$2:$D$1132,MATCH(Sheet1!C686,$C$2:$C$1132,0)),"")</f>
        <v>60000</v>
      </c>
      <c r="M686" t="str">
        <f>IFERROR(INDEX($M$2:$M$1132,MATCH(B686,$B$2:$B$1132,0)),"")</f>
        <v>SQL, PYTHON, AWS, SPARK, ETL</v>
      </c>
      <c r="N686" t="s">
        <v>74</v>
      </c>
      <c r="O686" t="s">
        <v>37</v>
      </c>
    </row>
    <row r="687" spans="1:15" x14ac:dyDescent="0.25">
      <c r="A687">
        <v>18535</v>
      </c>
      <c r="B687" t="s">
        <v>15</v>
      </c>
      <c r="C687" t="s">
        <v>26</v>
      </c>
      <c r="D687" t="str">
        <f>IFERROR(INDEX(Sheet2!$B$2:$B$1132,MATCH(Sheet1!C687,Sheet1!$C$2:$C$1132,0)),"IDK")</f>
        <v>FINANCE</v>
      </c>
      <c r="E687" t="s">
        <v>48</v>
      </c>
      <c r="F687" t="s">
        <v>52</v>
      </c>
      <c r="G687" s="1">
        <v>45635</v>
      </c>
      <c r="H687" t="s">
        <v>59</v>
      </c>
      <c r="I687" s="2" t="s">
        <v>168</v>
      </c>
      <c r="J687" s="2" t="s">
        <v>169</v>
      </c>
      <c r="K687">
        <f>IFERROR(INDEX(Sheet2!$C$2:$C$1132,MATCH(Sheet1!C687,Sheet1!$C$2:$C$1132,0)),"")</f>
        <v>35000</v>
      </c>
      <c r="L687">
        <f>IFERROR(INDEX(Sheet2!$D$2:$D$1132,MATCH(Sheet1!C687,$C$2:$C$1132,0)),"")</f>
        <v>75000</v>
      </c>
      <c r="M687" t="str">
        <f>IFERROR(INDEX($M$2:$M$1132,MATCH(B687,$B$2:$B$1132,0)),"")</f>
        <v>SQL, PYTHON, AWS, SPARK, ETL</v>
      </c>
      <c r="N687" t="s">
        <v>74</v>
      </c>
      <c r="O687" t="s">
        <v>37</v>
      </c>
    </row>
    <row r="688" spans="1:15" x14ac:dyDescent="0.25">
      <c r="A688">
        <v>18536</v>
      </c>
      <c r="B688" t="s">
        <v>15</v>
      </c>
      <c r="C688" t="s">
        <v>27</v>
      </c>
      <c r="D688" t="str">
        <f>IFERROR(INDEX(Sheet2!$B$2:$B$1132,MATCH(Sheet1!C688,Sheet1!$C$2:$C$1132,0)),"IDK")</f>
        <v>IT</v>
      </c>
      <c r="E688" t="s">
        <v>48</v>
      </c>
      <c r="F688" t="s">
        <v>52</v>
      </c>
      <c r="G688" s="1">
        <v>45598</v>
      </c>
      <c r="H688" t="s">
        <v>59</v>
      </c>
      <c r="I688" s="2" t="s">
        <v>168</v>
      </c>
      <c r="J688" s="2" t="s">
        <v>170</v>
      </c>
      <c r="K688">
        <f>IFERROR(INDEX(Sheet2!$C$2:$C$1132,MATCH(Sheet1!C688,Sheet1!$C$2:$C$1132,0)),"")</f>
        <v>40000</v>
      </c>
      <c r="L688">
        <f>IFERROR(INDEX(Sheet2!$D$2:$D$1132,MATCH(Sheet1!C688,$C$2:$C$1132,0)),"")</f>
        <v>80000</v>
      </c>
      <c r="M688" t="str">
        <f>IFERROR(INDEX($M$2:$M$1132,MATCH(B688,$B$2:$B$1132,0)),"")</f>
        <v>SQL, PYTHON, AWS, SPARK, ETL</v>
      </c>
      <c r="N688" t="s">
        <v>75</v>
      </c>
      <c r="O688" t="s">
        <v>37</v>
      </c>
    </row>
    <row r="689" spans="1:15" x14ac:dyDescent="0.25">
      <c r="A689">
        <v>18537</v>
      </c>
      <c r="B689" t="s">
        <v>15</v>
      </c>
      <c r="C689" t="s">
        <v>28</v>
      </c>
      <c r="D689" t="str">
        <f>IFERROR(INDEX(Sheet2!$B$2:$B$1132,MATCH(Sheet1!C689,Sheet1!$C$2:$C$1132,0)),"IDK")</f>
        <v>IT</v>
      </c>
      <c r="E689" t="s">
        <v>48</v>
      </c>
      <c r="F689" t="s">
        <v>52</v>
      </c>
      <c r="G689" s="1">
        <v>45328</v>
      </c>
      <c r="H689" t="s">
        <v>59</v>
      </c>
      <c r="I689" s="2" t="s">
        <v>171</v>
      </c>
      <c r="J689" s="2" t="s">
        <v>172</v>
      </c>
      <c r="K689">
        <f>IFERROR(INDEX(Sheet2!$C$2:$C$1132,MATCH(Sheet1!C689,Sheet1!$C$2:$C$1132,0)),"")</f>
        <v>30000</v>
      </c>
      <c r="L689">
        <f>IFERROR(INDEX(Sheet2!$D$2:$D$1132,MATCH(Sheet1!C689,$C$2:$C$1132,0)),"")</f>
        <v>55000</v>
      </c>
      <c r="M689" t="str">
        <f>IFERROR(INDEX($M$2:$M$1132,MATCH(B689,$B$2:$B$1132,0)),"")</f>
        <v>SQL, PYTHON, AWS, SPARK, ETL</v>
      </c>
      <c r="N689" t="s">
        <v>75</v>
      </c>
      <c r="O689" t="s">
        <v>37</v>
      </c>
    </row>
    <row r="690" spans="1:15" x14ac:dyDescent="0.25">
      <c r="A690">
        <v>18538</v>
      </c>
      <c r="B690" t="s">
        <v>15</v>
      </c>
      <c r="C690" t="s">
        <v>29</v>
      </c>
      <c r="D690" t="str">
        <f>IFERROR(INDEX(Sheet2!$B$2:$B$1132,MATCH(Sheet1!C690,Sheet1!$C$2:$C$1132,0)),"IDK")</f>
        <v>IT</v>
      </c>
      <c r="E690" t="s">
        <v>48</v>
      </c>
      <c r="F690" t="s">
        <v>52</v>
      </c>
      <c r="G690" s="1">
        <v>45548</v>
      </c>
      <c r="H690" t="s">
        <v>59</v>
      </c>
      <c r="I690" s="2" t="s">
        <v>161</v>
      </c>
      <c r="J690" s="2" t="s">
        <v>162</v>
      </c>
      <c r="K690">
        <f>IFERROR(INDEX(Sheet2!$C$2:$C$1132,MATCH(Sheet1!C690,Sheet1!$C$2:$C$1132,0)),"")</f>
        <v>35000</v>
      </c>
      <c r="L690">
        <f>IFERROR(INDEX(Sheet2!$D$2:$D$1132,MATCH(Sheet1!C690,$C$2:$C$1132,0)),"")</f>
        <v>70000</v>
      </c>
      <c r="M690" t="str">
        <f>IFERROR(INDEX($M$2:$M$1132,MATCH(B690,$B$2:$B$1132,0)),"")</f>
        <v>SQL, PYTHON, AWS, SPARK, ETL</v>
      </c>
      <c r="N690" t="s">
        <v>75</v>
      </c>
      <c r="O690" t="s">
        <v>37</v>
      </c>
    </row>
    <row r="691" spans="1:15" x14ac:dyDescent="0.25">
      <c r="A691">
        <v>18539</v>
      </c>
      <c r="B691" t="s">
        <v>15</v>
      </c>
      <c r="C691" t="s">
        <v>23</v>
      </c>
      <c r="D691" t="str">
        <f>IFERROR(INDEX(Sheet2!$B$2:$B$1132,MATCH(Sheet1!C691,Sheet1!$C$2:$C$1132,0)),"IDK")</f>
        <v>IT</v>
      </c>
      <c r="E691" t="s">
        <v>48</v>
      </c>
      <c r="F691" t="s">
        <v>52</v>
      </c>
      <c r="G691" s="1">
        <v>45413</v>
      </c>
      <c r="H691" t="s">
        <v>59</v>
      </c>
      <c r="I691" s="2" t="s">
        <v>161</v>
      </c>
      <c r="J691" s="2" t="s">
        <v>163</v>
      </c>
      <c r="K691">
        <f>IFERROR(INDEX(Sheet2!$C$2:$C$1132,MATCH(Sheet1!C691,Sheet1!$C$2:$C$1132,0)),"")</f>
        <v>35000</v>
      </c>
      <c r="L691">
        <f>IFERROR(INDEX(Sheet2!$D$2:$D$1132,MATCH(Sheet1!C691,$C$2:$C$1132,0)),"")</f>
        <v>70000</v>
      </c>
      <c r="M691" t="str">
        <f>IFERROR(INDEX($M$2:$M$1132,MATCH(B691,$B$2:$B$1132,0)),"")</f>
        <v>SQL, PYTHON, AWS, SPARK, ETL</v>
      </c>
      <c r="N691" t="s">
        <v>75</v>
      </c>
      <c r="O691" t="s">
        <v>37</v>
      </c>
    </row>
    <row r="692" spans="1:15" x14ac:dyDescent="0.25">
      <c r="A692">
        <v>18540</v>
      </c>
      <c r="B692" t="s">
        <v>15</v>
      </c>
      <c r="C692" t="s">
        <v>30</v>
      </c>
      <c r="D692" t="str">
        <f>IFERROR(INDEX(Sheet2!$B$2:$B$1132,MATCH(Sheet1!C692,Sheet1!$C$2:$C$1132,0)),"IDK")</f>
        <v>IT</v>
      </c>
      <c r="E692" t="s">
        <v>48</v>
      </c>
      <c r="F692" t="s">
        <v>52</v>
      </c>
      <c r="G692" s="1">
        <v>45310</v>
      </c>
      <c r="H692" t="s">
        <v>59</v>
      </c>
      <c r="I692" s="2" t="s">
        <v>164</v>
      </c>
      <c r="J692" s="2" t="s">
        <v>165</v>
      </c>
      <c r="K692">
        <f>IFERROR(INDEX(Sheet2!$C$2:$C$1132,MATCH(Sheet1!C692,Sheet1!$C$2:$C$1132,0)),"")</f>
        <v>25000</v>
      </c>
      <c r="L692">
        <f>IFERROR(INDEX(Sheet2!$D$2:$D$1132,MATCH(Sheet1!C692,$C$2:$C$1132,0)),"")</f>
        <v>60000</v>
      </c>
      <c r="M692" t="str">
        <f>IFERROR(INDEX($M$2:$M$1132,MATCH(B692,$B$2:$B$1132,0)),"")</f>
        <v>SQL, PYTHON, AWS, SPARK, ETL</v>
      </c>
      <c r="N692" t="s">
        <v>75</v>
      </c>
      <c r="O692" t="s">
        <v>37</v>
      </c>
    </row>
    <row r="693" spans="1:15" x14ac:dyDescent="0.25">
      <c r="A693">
        <v>18541</v>
      </c>
      <c r="B693" t="s">
        <v>15</v>
      </c>
      <c r="C693" t="s">
        <v>31</v>
      </c>
      <c r="D693" t="str">
        <f>IFERROR(INDEX(Sheet2!$B$2:$B$1132,MATCH(Sheet1!C693,Sheet1!$C$2:$C$1132,0)),"IDK")</f>
        <v>IT</v>
      </c>
      <c r="E693" t="s">
        <v>48</v>
      </c>
      <c r="F693" t="s">
        <v>52</v>
      </c>
      <c r="G693" s="1">
        <v>45404</v>
      </c>
      <c r="H693" t="s">
        <v>59</v>
      </c>
      <c r="I693" s="2" t="s">
        <v>166</v>
      </c>
      <c r="J693" s="2" t="s">
        <v>167</v>
      </c>
      <c r="K693">
        <f>IFERROR(INDEX(Sheet2!$C$2:$C$1132,MATCH(Sheet1!C693,Sheet1!$C$2:$C$1132,0)),"")</f>
        <v>25000</v>
      </c>
      <c r="L693">
        <f>IFERROR(INDEX(Sheet2!$D$2:$D$1132,MATCH(Sheet1!C693,$C$2:$C$1132,0)),"")</f>
        <v>75000</v>
      </c>
      <c r="M693" t="str">
        <f>IFERROR(INDEX($M$2:$M$1132,MATCH(B693,$B$2:$B$1132,0)),"")</f>
        <v>SQL, PYTHON, AWS, SPARK, ETL</v>
      </c>
      <c r="N693" t="s">
        <v>75</v>
      </c>
      <c r="O693" t="s">
        <v>37</v>
      </c>
    </row>
    <row r="694" spans="1:15" x14ac:dyDescent="0.25">
      <c r="A694">
        <v>18542</v>
      </c>
      <c r="B694" t="s">
        <v>15</v>
      </c>
      <c r="C694" t="s">
        <v>32</v>
      </c>
      <c r="D694" t="str">
        <f>IFERROR(INDEX(Sheet2!$B$2:$B$1132,MATCH(Sheet1!C694,Sheet1!$C$2:$C$1132,0)),"IDK")</f>
        <v>SOCIAL</v>
      </c>
      <c r="E694" t="s">
        <v>48</v>
      </c>
      <c r="F694" t="s">
        <v>52</v>
      </c>
      <c r="G694" s="1">
        <v>45545</v>
      </c>
      <c r="H694" t="s">
        <v>59</v>
      </c>
      <c r="I694" s="2" t="s">
        <v>168</v>
      </c>
      <c r="J694" s="2" t="s">
        <v>169</v>
      </c>
      <c r="K694">
        <f>IFERROR(INDEX(Sheet2!$C$2:$C$1132,MATCH(Sheet1!C694,Sheet1!$C$2:$C$1132,0)),"")</f>
        <v>20000</v>
      </c>
      <c r="L694">
        <f>IFERROR(INDEX(Sheet2!$D$2:$D$1132,MATCH(Sheet1!C694,$C$2:$C$1132,0)),"")</f>
        <v>70000</v>
      </c>
      <c r="M694" t="str">
        <f>IFERROR(INDEX($M$2:$M$1132,MATCH(B694,$B$2:$B$1132,0)),"")</f>
        <v>SQL, PYTHON, AWS, SPARK, ETL</v>
      </c>
      <c r="N694" t="s">
        <v>75</v>
      </c>
      <c r="O694" t="s">
        <v>37</v>
      </c>
    </row>
    <row r="695" spans="1:15" x14ac:dyDescent="0.25">
      <c r="A695">
        <v>18543</v>
      </c>
      <c r="B695" t="s">
        <v>15</v>
      </c>
      <c r="C695" t="s">
        <v>33</v>
      </c>
      <c r="D695" t="str">
        <f>IFERROR(INDEX(Sheet2!$B$2:$B$1132,MATCH(Sheet1!C695,Sheet1!$C$2:$C$1132,0)),"IDK")</f>
        <v>FINANCE</v>
      </c>
      <c r="E695" t="s">
        <v>48</v>
      </c>
      <c r="F695" t="s">
        <v>52</v>
      </c>
      <c r="G695" s="1">
        <v>45648</v>
      </c>
      <c r="H695" t="s">
        <v>59</v>
      </c>
      <c r="I695" s="2" t="s">
        <v>168</v>
      </c>
      <c r="J695" s="2" t="s">
        <v>170</v>
      </c>
      <c r="K695">
        <f>IFERROR(INDEX(Sheet2!$C$2:$C$1132,MATCH(Sheet1!C695,Sheet1!$C$2:$C$1132,0)),"")</f>
        <v>40000</v>
      </c>
      <c r="L695">
        <f>IFERROR(INDEX(Sheet2!$D$2:$D$1132,MATCH(Sheet1!C695,$C$2:$C$1132,0)),"")</f>
        <v>85000</v>
      </c>
      <c r="M695" t="str">
        <f>IFERROR(INDEX($M$2:$M$1132,MATCH(B695,$B$2:$B$1132,0)),"")</f>
        <v>SQL, PYTHON, AWS, SPARK, ETL</v>
      </c>
      <c r="N695" t="s">
        <v>75</v>
      </c>
      <c r="O695" t="s">
        <v>37</v>
      </c>
    </row>
    <row r="696" spans="1:15" x14ac:dyDescent="0.25">
      <c r="A696">
        <v>18544</v>
      </c>
      <c r="B696" t="s">
        <v>15</v>
      </c>
      <c r="C696" t="s">
        <v>24</v>
      </c>
      <c r="D696" t="str">
        <f>IFERROR(INDEX(Sheet2!$B$2:$B$1132,MATCH(Sheet1!C696,Sheet1!$C$2:$C$1132,0)),"IDK")</f>
        <v>HEALTH</v>
      </c>
      <c r="E696" t="s">
        <v>48</v>
      </c>
      <c r="F696" t="s">
        <v>52</v>
      </c>
      <c r="G696" s="1">
        <v>45519</v>
      </c>
      <c r="H696" t="s">
        <v>59</v>
      </c>
      <c r="I696" s="2" t="s">
        <v>171</v>
      </c>
      <c r="J696" s="2" t="s">
        <v>172</v>
      </c>
      <c r="K696">
        <f>IFERROR(INDEX(Sheet2!$C$2:$C$1132,MATCH(Sheet1!C696,Sheet1!$C$2:$C$1132,0)),"")</f>
        <v>25000</v>
      </c>
      <c r="L696">
        <f>IFERROR(INDEX(Sheet2!$D$2:$D$1132,MATCH(Sheet1!C696,$C$2:$C$1132,0)),"")</f>
        <v>50000</v>
      </c>
      <c r="M696" t="str">
        <f>IFERROR(INDEX($M$2:$M$1132,MATCH(B696,$B$2:$B$1132,0)),"")</f>
        <v>SQL, PYTHON, AWS, SPARK, ETL</v>
      </c>
      <c r="N696" t="s">
        <v>75</v>
      </c>
      <c r="O696" t="s">
        <v>37</v>
      </c>
    </row>
    <row r="697" spans="1:15" x14ac:dyDescent="0.25">
      <c r="A697">
        <v>18545</v>
      </c>
      <c r="B697" t="s">
        <v>15</v>
      </c>
      <c r="C697" t="s">
        <v>25</v>
      </c>
      <c r="D697" t="str">
        <f>IFERROR(INDEX(Sheet2!$B$2:$B$1132,MATCH(Sheet1!C697,Sheet1!$C$2:$C$1132,0)),"IDK")</f>
        <v>SOCIAL</v>
      </c>
      <c r="E697" t="s">
        <v>48</v>
      </c>
      <c r="F697" t="s">
        <v>52</v>
      </c>
      <c r="G697" s="1">
        <v>45418</v>
      </c>
      <c r="H697" t="s">
        <v>59</v>
      </c>
      <c r="I697" s="2" t="s">
        <v>161</v>
      </c>
      <c r="J697" s="2" t="s">
        <v>162</v>
      </c>
      <c r="K697">
        <f>IFERROR(INDEX(Sheet2!$C$2:$C$1132,MATCH(Sheet1!C697,Sheet1!$C$2:$C$1132,0)),"")</f>
        <v>30000</v>
      </c>
      <c r="L697">
        <f>IFERROR(INDEX(Sheet2!$D$2:$D$1132,MATCH(Sheet1!C697,$C$2:$C$1132,0)),"")</f>
        <v>60000</v>
      </c>
      <c r="M697" t="str">
        <f>IFERROR(INDEX($M$2:$M$1132,MATCH(B697,$B$2:$B$1132,0)),"")</f>
        <v>SQL, PYTHON, AWS, SPARK, ETL</v>
      </c>
      <c r="N697" t="s">
        <v>76</v>
      </c>
      <c r="O697" t="s">
        <v>37</v>
      </c>
    </row>
    <row r="698" spans="1:15" x14ac:dyDescent="0.25">
      <c r="A698">
        <v>18546</v>
      </c>
      <c r="B698" t="s">
        <v>15</v>
      </c>
      <c r="C698" t="s">
        <v>26</v>
      </c>
      <c r="D698" t="str">
        <f>IFERROR(INDEX(Sheet2!$B$2:$B$1132,MATCH(Sheet1!C698,Sheet1!$C$2:$C$1132,0)),"IDK")</f>
        <v>FINANCE</v>
      </c>
      <c r="E698" t="s">
        <v>48</v>
      </c>
      <c r="F698" t="s">
        <v>52</v>
      </c>
      <c r="G698" s="1">
        <v>45482</v>
      </c>
      <c r="H698" t="s">
        <v>59</v>
      </c>
      <c r="I698" s="2" t="s">
        <v>161</v>
      </c>
      <c r="J698" s="2" t="s">
        <v>163</v>
      </c>
      <c r="K698">
        <f>IFERROR(INDEX(Sheet2!$C$2:$C$1132,MATCH(Sheet1!C698,Sheet1!$C$2:$C$1132,0)),"")</f>
        <v>35000</v>
      </c>
      <c r="L698">
        <f>IFERROR(INDEX(Sheet2!$D$2:$D$1132,MATCH(Sheet1!C698,$C$2:$C$1132,0)),"")</f>
        <v>75000</v>
      </c>
      <c r="M698" t="str">
        <f>IFERROR(INDEX($M$2:$M$1132,MATCH(B698,$B$2:$B$1132,0)),"")</f>
        <v>SQL, PYTHON, AWS, SPARK, ETL</v>
      </c>
      <c r="N698" t="s">
        <v>76</v>
      </c>
      <c r="O698" t="s">
        <v>37</v>
      </c>
    </row>
    <row r="699" spans="1:15" x14ac:dyDescent="0.25">
      <c r="A699">
        <v>18547</v>
      </c>
      <c r="B699" t="s">
        <v>15</v>
      </c>
      <c r="C699" t="s">
        <v>27</v>
      </c>
      <c r="D699" t="str">
        <f>IFERROR(INDEX(Sheet2!$B$2:$B$1132,MATCH(Sheet1!C699,Sheet1!$C$2:$C$1132,0)),"IDK")</f>
        <v>IT</v>
      </c>
      <c r="E699" t="s">
        <v>48</v>
      </c>
      <c r="F699" t="s">
        <v>52</v>
      </c>
      <c r="G699" s="1">
        <v>45376</v>
      </c>
      <c r="H699" t="s">
        <v>59</v>
      </c>
      <c r="I699" s="2" t="s">
        <v>164</v>
      </c>
      <c r="J699" s="2" t="s">
        <v>165</v>
      </c>
      <c r="K699">
        <f>IFERROR(INDEX(Sheet2!$C$2:$C$1132,MATCH(Sheet1!C699,Sheet1!$C$2:$C$1132,0)),"")</f>
        <v>40000</v>
      </c>
      <c r="L699">
        <f>IFERROR(INDEX(Sheet2!$D$2:$D$1132,MATCH(Sheet1!C699,$C$2:$C$1132,0)),"")</f>
        <v>80000</v>
      </c>
      <c r="M699" t="str">
        <f>IFERROR(INDEX($M$2:$M$1132,MATCH(B699,$B$2:$B$1132,0)),"")</f>
        <v>SQL, PYTHON, AWS, SPARK, ETL</v>
      </c>
      <c r="N699" t="s">
        <v>76</v>
      </c>
      <c r="O699" t="s">
        <v>37</v>
      </c>
    </row>
    <row r="700" spans="1:15" x14ac:dyDescent="0.25">
      <c r="A700">
        <v>18548</v>
      </c>
      <c r="B700" t="s">
        <v>15</v>
      </c>
      <c r="C700" t="s">
        <v>28</v>
      </c>
      <c r="D700" t="str">
        <f>IFERROR(INDEX(Sheet2!$B$2:$B$1132,MATCH(Sheet1!C700,Sheet1!$C$2:$C$1132,0)),"IDK")</f>
        <v>IT</v>
      </c>
      <c r="E700" t="s">
        <v>51</v>
      </c>
      <c r="F700" t="s">
        <v>52</v>
      </c>
      <c r="G700" s="1">
        <v>45560</v>
      </c>
      <c r="H700" t="s">
        <v>59</v>
      </c>
      <c r="I700" s="2" t="s">
        <v>166</v>
      </c>
      <c r="J700" s="2" t="s">
        <v>167</v>
      </c>
      <c r="K700">
        <f>IFERROR(INDEX(Sheet2!$C$2:$C$1132,MATCH(Sheet1!C700,Sheet1!$C$2:$C$1132,0)),"")</f>
        <v>30000</v>
      </c>
      <c r="L700">
        <f>IFERROR(INDEX(Sheet2!$D$2:$D$1132,MATCH(Sheet1!C700,$C$2:$C$1132,0)),"")</f>
        <v>55000</v>
      </c>
      <c r="M700" t="str">
        <f>IFERROR(INDEX($M$2:$M$1132,MATCH(B700,$B$2:$B$1132,0)),"")</f>
        <v>SQL, PYTHON, AWS, SPARK, ETL</v>
      </c>
      <c r="N700" t="s">
        <v>76</v>
      </c>
      <c r="O700" t="s">
        <v>37</v>
      </c>
    </row>
    <row r="701" spans="1:15" x14ac:dyDescent="0.25">
      <c r="A701">
        <v>18549</v>
      </c>
      <c r="B701" t="s">
        <v>15</v>
      </c>
      <c r="C701" t="s">
        <v>29</v>
      </c>
      <c r="D701" t="str">
        <f>IFERROR(INDEX(Sheet2!$B$2:$B$1132,MATCH(Sheet1!C701,Sheet1!$C$2:$C$1132,0)),"IDK")</f>
        <v>IT</v>
      </c>
      <c r="E701" t="s">
        <v>51</v>
      </c>
      <c r="F701" t="s">
        <v>52</v>
      </c>
      <c r="G701" s="1">
        <v>45512</v>
      </c>
      <c r="H701" t="s">
        <v>59</v>
      </c>
      <c r="I701" s="2" t="s">
        <v>168</v>
      </c>
      <c r="J701" s="2" t="s">
        <v>169</v>
      </c>
      <c r="K701">
        <f>IFERROR(INDEX(Sheet2!$C$2:$C$1132,MATCH(Sheet1!C701,Sheet1!$C$2:$C$1132,0)),"")</f>
        <v>35000</v>
      </c>
      <c r="L701">
        <f>IFERROR(INDEX(Sheet2!$D$2:$D$1132,MATCH(Sheet1!C701,$C$2:$C$1132,0)),"")</f>
        <v>70000</v>
      </c>
      <c r="M701" t="str">
        <f>IFERROR(INDEX($M$2:$M$1132,MATCH(B701,$B$2:$B$1132,0)),"")</f>
        <v>SQL, PYTHON, AWS, SPARK, ETL</v>
      </c>
      <c r="N701" t="s">
        <v>76</v>
      </c>
      <c r="O701" t="s">
        <v>37</v>
      </c>
    </row>
    <row r="702" spans="1:15" x14ac:dyDescent="0.25">
      <c r="A702">
        <v>18550</v>
      </c>
      <c r="B702" t="s">
        <v>15</v>
      </c>
      <c r="C702" t="s">
        <v>23</v>
      </c>
      <c r="D702" t="str">
        <f>IFERROR(INDEX(Sheet2!$B$2:$B$1132,MATCH(Sheet1!C702,Sheet1!$C$2:$C$1132,0)),"IDK")</f>
        <v>IT</v>
      </c>
      <c r="E702" t="s">
        <v>51</v>
      </c>
      <c r="F702" t="s">
        <v>52</v>
      </c>
      <c r="G702" s="1">
        <v>45634</v>
      </c>
      <c r="H702" t="s">
        <v>59</v>
      </c>
      <c r="I702" s="2" t="s">
        <v>168</v>
      </c>
      <c r="J702" s="2" t="s">
        <v>170</v>
      </c>
      <c r="K702">
        <f>IFERROR(INDEX(Sheet2!$C$2:$C$1132,MATCH(Sheet1!C702,Sheet1!$C$2:$C$1132,0)),"")</f>
        <v>35000</v>
      </c>
      <c r="L702">
        <f>IFERROR(INDEX(Sheet2!$D$2:$D$1132,MATCH(Sheet1!C702,$C$2:$C$1132,0)),"")</f>
        <v>70000</v>
      </c>
      <c r="M702" t="str">
        <f>IFERROR(INDEX($M$2:$M$1132,MATCH(B702,$B$2:$B$1132,0)),"")</f>
        <v>SQL, PYTHON, AWS, SPARK, ETL</v>
      </c>
      <c r="N702" t="s">
        <v>76</v>
      </c>
      <c r="O702" t="s">
        <v>37</v>
      </c>
    </row>
    <row r="703" spans="1:15" x14ac:dyDescent="0.25">
      <c r="A703">
        <v>18551</v>
      </c>
      <c r="B703" t="s">
        <v>15</v>
      </c>
      <c r="C703" t="s">
        <v>30</v>
      </c>
      <c r="D703" t="str">
        <f>IFERROR(INDEX(Sheet2!$B$2:$B$1132,MATCH(Sheet1!C703,Sheet1!$C$2:$C$1132,0)),"IDK")</f>
        <v>IT</v>
      </c>
      <c r="E703" t="s">
        <v>51</v>
      </c>
      <c r="F703" t="s">
        <v>52</v>
      </c>
      <c r="G703" s="1">
        <v>45629</v>
      </c>
      <c r="H703" t="s">
        <v>59</v>
      </c>
      <c r="I703" s="2" t="s">
        <v>171</v>
      </c>
      <c r="J703" s="2" t="s">
        <v>172</v>
      </c>
      <c r="K703">
        <f>IFERROR(INDEX(Sheet2!$C$2:$C$1132,MATCH(Sheet1!C703,Sheet1!$C$2:$C$1132,0)),"")</f>
        <v>25000</v>
      </c>
      <c r="L703">
        <f>IFERROR(INDEX(Sheet2!$D$2:$D$1132,MATCH(Sheet1!C703,$C$2:$C$1132,0)),"")</f>
        <v>60000</v>
      </c>
      <c r="M703" t="str">
        <f>IFERROR(INDEX($M$2:$M$1132,MATCH(B703,$B$2:$B$1132,0)),"")</f>
        <v>SQL, PYTHON, AWS, SPARK, ETL</v>
      </c>
      <c r="N703" t="s">
        <v>76</v>
      </c>
      <c r="O703" t="s">
        <v>37</v>
      </c>
    </row>
    <row r="704" spans="1:15" x14ac:dyDescent="0.25">
      <c r="A704">
        <v>18552</v>
      </c>
      <c r="B704" t="s">
        <v>15</v>
      </c>
      <c r="C704" t="s">
        <v>31</v>
      </c>
      <c r="D704" t="str">
        <f>IFERROR(INDEX(Sheet2!$B$2:$B$1132,MATCH(Sheet1!C704,Sheet1!$C$2:$C$1132,0)),"IDK")</f>
        <v>IT</v>
      </c>
      <c r="E704" t="s">
        <v>51</v>
      </c>
      <c r="F704" t="s">
        <v>52</v>
      </c>
      <c r="G704" s="1">
        <v>45341</v>
      </c>
      <c r="H704" t="s">
        <v>59</v>
      </c>
      <c r="I704" s="2" t="s">
        <v>166</v>
      </c>
      <c r="J704" s="2" t="s">
        <v>167</v>
      </c>
      <c r="K704">
        <f>IFERROR(INDEX(Sheet2!$C$2:$C$1132,MATCH(Sheet1!C704,Sheet1!$C$2:$C$1132,0)),"")</f>
        <v>25000</v>
      </c>
      <c r="L704">
        <f>IFERROR(INDEX(Sheet2!$D$2:$D$1132,MATCH(Sheet1!C704,$C$2:$C$1132,0)),"")</f>
        <v>75000</v>
      </c>
      <c r="M704" t="str">
        <f>IFERROR(INDEX($M$2:$M$1132,MATCH(B704,$B$2:$B$1132,0)),"")</f>
        <v>SQL, PYTHON, AWS, SPARK, ETL</v>
      </c>
      <c r="N704" t="s">
        <v>74</v>
      </c>
      <c r="O704" t="s">
        <v>37</v>
      </c>
    </row>
    <row r="705" spans="1:15" x14ac:dyDescent="0.25">
      <c r="A705">
        <v>18553</v>
      </c>
      <c r="B705" t="s">
        <v>15</v>
      </c>
      <c r="C705" t="s">
        <v>32</v>
      </c>
      <c r="D705" t="str">
        <f>IFERROR(INDEX(Sheet2!$B$2:$B$1132,MATCH(Sheet1!C705,Sheet1!$C$2:$C$1132,0)),"IDK")</f>
        <v>SOCIAL</v>
      </c>
      <c r="E705" t="s">
        <v>51</v>
      </c>
      <c r="F705" t="s">
        <v>52</v>
      </c>
      <c r="G705" s="1">
        <v>45589</v>
      </c>
      <c r="H705" t="s">
        <v>59</v>
      </c>
      <c r="I705" s="2" t="s">
        <v>168</v>
      </c>
      <c r="J705" s="2" t="s">
        <v>169</v>
      </c>
      <c r="K705">
        <f>IFERROR(INDEX(Sheet2!$C$2:$C$1132,MATCH(Sheet1!C705,Sheet1!$C$2:$C$1132,0)),"")</f>
        <v>20000</v>
      </c>
      <c r="L705">
        <f>IFERROR(INDEX(Sheet2!$D$2:$D$1132,MATCH(Sheet1!C705,$C$2:$C$1132,0)),"")</f>
        <v>70000</v>
      </c>
      <c r="M705" t="str">
        <f>IFERROR(INDEX($M$2:$M$1132,MATCH(B705,$B$2:$B$1132,0)),"")</f>
        <v>SQL, PYTHON, AWS, SPARK, ETL</v>
      </c>
      <c r="N705" t="s">
        <v>74</v>
      </c>
      <c r="O705" t="s">
        <v>37</v>
      </c>
    </row>
    <row r="706" spans="1:15" x14ac:dyDescent="0.25">
      <c r="A706">
        <v>18554</v>
      </c>
      <c r="B706" t="s">
        <v>15</v>
      </c>
      <c r="C706" t="s">
        <v>33</v>
      </c>
      <c r="D706" t="str">
        <f>IFERROR(INDEX(Sheet2!$B$2:$B$1132,MATCH(Sheet1!C706,Sheet1!$C$2:$C$1132,0)),"IDK")</f>
        <v>FINANCE</v>
      </c>
      <c r="E706" t="s">
        <v>51</v>
      </c>
      <c r="F706" t="s">
        <v>52</v>
      </c>
      <c r="G706" s="1">
        <v>45565</v>
      </c>
      <c r="H706" t="s">
        <v>59</v>
      </c>
      <c r="I706" s="2" t="s">
        <v>168</v>
      </c>
      <c r="J706" s="2" t="s">
        <v>170</v>
      </c>
      <c r="K706">
        <f>IFERROR(INDEX(Sheet2!$C$2:$C$1132,MATCH(Sheet1!C706,Sheet1!$C$2:$C$1132,0)),"")</f>
        <v>40000</v>
      </c>
      <c r="L706">
        <f>IFERROR(INDEX(Sheet2!$D$2:$D$1132,MATCH(Sheet1!C706,$C$2:$C$1132,0)),"")</f>
        <v>85000</v>
      </c>
      <c r="M706" t="str">
        <f>IFERROR(INDEX($M$2:$M$1132,MATCH(B706,$B$2:$B$1132,0)),"")</f>
        <v>SQL, PYTHON, AWS, SPARK, ETL</v>
      </c>
      <c r="N706" t="s">
        <v>74</v>
      </c>
      <c r="O706" t="s">
        <v>37</v>
      </c>
    </row>
    <row r="707" spans="1:15" x14ac:dyDescent="0.25">
      <c r="A707">
        <v>18555</v>
      </c>
      <c r="B707" t="s">
        <v>15</v>
      </c>
      <c r="C707" t="s">
        <v>34</v>
      </c>
      <c r="D707" t="str">
        <f>IFERROR(INDEX(Sheet2!$B$2:$B$1132,MATCH(Sheet1!C707,Sheet1!$C$2:$C$1132,0)),"IDK")</f>
        <v>IT</v>
      </c>
      <c r="E707" t="s">
        <v>51</v>
      </c>
      <c r="F707" t="s">
        <v>52</v>
      </c>
      <c r="G707" s="1">
        <v>45517</v>
      </c>
      <c r="H707" t="s">
        <v>59</v>
      </c>
      <c r="I707" s="2" t="s">
        <v>171</v>
      </c>
      <c r="J707" s="2" t="s">
        <v>172</v>
      </c>
      <c r="K707">
        <f>IFERROR(INDEX(Sheet2!$C$2:$C$1132,MATCH(Sheet1!C707,Sheet1!$C$2:$C$1132,0)),"")</f>
        <v>35000</v>
      </c>
      <c r="L707">
        <f>IFERROR(INDEX(Sheet2!$D$2:$D$1132,MATCH(Sheet1!C707,$C$2:$C$1132,0)),"")</f>
        <v>90000</v>
      </c>
      <c r="M707" t="str">
        <f>IFERROR(INDEX($M$2:$M$1132,MATCH(B707,$B$2:$B$1132,0)),"")</f>
        <v>SQL, PYTHON, AWS, SPARK, ETL</v>
      </c>
      <c r="N707" t="s">
        <v>74</v>
      </c>
      <c r="O707" t="s">
        <v>37</v>
      </c>
    </row>
    <row r="708" spans="1:15" x14ac:dyDescent="0.25">
      <c r="A708">
        <v>18556</v>
      </c>
      <c r="B708" t="s">
        <v>15</v>
      </c>
      <c r="C708" t="s">
        <v>35</v>
      </c>
      <c r="D708" t="str">
        <f>IFERROR(INDEX(Sheet2!$B$2:$B$1132,MATCH(Sheet1!C708,Sheet1!$C$2:$C$1132,0)),"IDK")</f>
        <v>SOCIAL</v>
      </c>
      <c r="E708" t="s">
        <v>51</v>
      </c>
      <c r="F708" t="s">
        <v>52</v>
      </c>
      <c r="G708" s="1">
        <v>45456</v>
      </c>
      <c r="H708" t="s">
        <v>59</v>
      </c>
      <c r="I708" s="2" t="s">
        <v>161</v>
      </c>
      <c r="J708" s="2" t="s">
        <v>162</v>
      </c>
      <c r="K708">
        <f>IFERROR(INDEX(Sheet2!$C$2:$C$1132,MATCH(Sheet1!C708,Sheet1!$C$2:$C$1132,0)),"")</f>
        <v>30000</v>
      </c>
      <c r="L708">
        <f>IFERROR(INDEX(Sheet2!$D$2:$D$1132,MATCH(Sheet1!C708,$C$2:$C$1132,0)),"")</f>
        <v>95000</v>
      </c>
      <c r="M708" t="str">
        <f>IFERROR(INDEX($M$2:$M$1132,MATCH(B708,$B$2:$B$1132,0)),"")</f>
        <v>SQL, PYTHON, AWS, SPARK, ETL</v>
      </c>
      <c r="N708" t="s">
        <v>74</v>
      </c>
      <c r="O708" t="s">
        <v>37</v>
      </c>
    </row>
    <row r="709" spans="1:15" x14ac:dyDescent="0.25">
      <c r="A709">
        <v>18557</v>
      </c>
      <c r="B709" t="s">
        <v>15</v>
      </c>
      <c r="C709" t="s">
        <v>36</v>
      </c>
      <c r="D709" t="str">
        <f>IFERROR(INDEX(Sheet2!$B$2:$B$1132,MATCH(Sheet1!C709,Sheet1!$C$2:$C$1132,0)),"IDK")</f>
        <v>IT</v>
      </c>
      <c r="E709" t="s">
        <v>51</v>
      </c>
      <c r="F709" t="s">
        <v>52</v>
      </c>
      <c r="G709" s="1">
        <v>45559</v>
      </c>
      <c r="H709" t="s">
        <v>59</v>
      </c>
      <c r="I709" s="2" t="s">
        <v>168</v>
      </c>
      <c r="J709" s="2" t="s">
        <v>169</v>
      </c>
      <c r="K709">
        <f>IFERROR(INDEX(Sheet2!$C$2:$C$1132,MATCH(Sheet1!C709,Sheet1!$C$2:$C$1132,0)),"")</f>
        <v>50000</v>
      </c>
      <c r="L709">
        <f>IFERROR(INDEX(Sheet2!$D$2:$D$1132,MATCH(Sheet1!C709,$C$2:$C$1132,0)),"")</f>
        <v>100000</v>
      </c>
      <c r="M709" t="str">
        <f>IFERROR(INDEX($M$2:$M$1132,MATCH(B709,$B$2:$B$1132,0)),"")</f>
        <v>SQL, PYTHON, AWS, SPARK, ETL</v>
      </c>
      <c r="N709" t="s">
        <v>74</v>
      </c>
      <c r="O709" t="s">
        <v>37</v>
      </c>
    </row>
    <row r="710" spans="1:15" x14ac:dyDescent="0.25">
      <c r="A710">
        <v>18558</v>
      </c>
      <c r="B710" t="s">
        <v>15</v>
      </c>
      <c r="C710" t="s">
        <v>27</v>
      </c>
      <c r="D710" t="str">
        <f>IFERROR(INDEX(Sheet2!$B$2:$B$1132,MATCH(Sheet1!C710,Sheet1!$C$2:$C$1132,0)),"IDK")</f>
        <v>IT</v>
      </c>
      <c r="E710" t="s">
        <v>51</v>
      </c>
      <c r="F710" t="s">
        <v>52</v>
      </c>
      <c r="G710" s="1">
        <v>45424</v>
      </c>
      <c r="H710" t="s">
        <v>59</v>
      </c>
      <c r="I710" s="2" t="s">
        <v>161</v>
      </c>
      <c r="J710" s="2" t="s">
        <v>163</v>
      </c>
      <c r="K710">
        <f>IFERROR(INDEX(Sheet2!$C$2:$C$1132,MATCH(Sheet1!C710,Sheet1!$C$2:$C$1132,0)),"")</f>
        <v>40000</v>
      </c>
      <c r="L710">
        <f>IFERROR(INDEX(Sheet2!$D$2:$D$1132,MATCH(Sheet1!C710,$C$2:$C$1132,0)),"")</f>
        <v>80000</v>
      </c>
      <c r="M710" t="str">
        <f>IFERROR(INDEX($M$2:$M$1132,MATCH(B710,$B$2:$B$1132,0)),"")</f>
        <v>SQL, PYTHON, AWS, SPARK, ETL</v>
      </c>
      <c r="N710" t="s">
        <v>74</v>
      </c>
      <c r="O710" t="s">
        <v>37</v>
      </c>
    </row>
    <row r="711" spans="1:15" x14ac:dyDescent="0.25">
      <c r="A711">
        <v>18559</v>
      </c>
      <c r="B711" t="s">
        <v>15</v>
      </c>
      <c r="C711" t="s">
        <v>28</v>
      </c>
      <c r="D711" t="str">
        <f>IFERROR(INDEX(Sheet2!$B$2:$B$1132,MATCH(Sheet1!C711,Sheet1!$C$2:$C$1132,0)),"IDK")</f>
        <v>IT</v>
      </c>
      <c r="E711" t="s">
        <v>48</v>
      </c>
      <c r="F711" t="s">
        <v>52</v>
      </c>
      <c r="G711" s="1">
        <v>45477</v>
      </c>
      <c r="H711" t="s">
        <v>59</v>
      </c>
      <c r="I711" s="2" t="s">
        <v>164</v>
      </c>
      <c r="J711" s="2" t="s">
        <v>165</v>
      </c>
      <c r="K711">
        <f>IFERROR(INDEX(Sheet2!$C$2:$C$1132,MATCH(Sheet1!C711,Sheet1!$C$2:$C$1132,0)),"")</f>
        <v>30000</v>
      </c>
      <c r="L711">
        <f>IFERROR(INDEX(Sheet2!$D$2:$D$1132,MATCH(Sheet1!C711,$C$2:$C$1132,0)),"")</f>
        <v>55000</v>
      </c>
      <c r="M711" t="str">
        <f>IFERROR(INDEX($M$2:$M$1132,MATCH(B711,$B$2:$B$1132,0)),"")</f>
        <v>SQL, PYTHON, AWS, SPARK, ETL</v>
      </c>
      <c r="N711" t="s">
        <v>74</v>
      </c>
      <c r="O711" t="s">
        <v>37</v>
      </c>
    </row>
    <row r="712" spans="1:15" x14ac:dyDescent="0.25">
      <c r="A712">
        <v>18560</v>
      </c>
      <c r="B712" t="s">
        <v>15</v>
      </c>
      <c r="C712" t="s">
        <v>29</v>
      </c>
      <c r="D712" t="str">
        <f>IFERROR(INDEX(Sheet2!$B$2:$B$1132,MATCH(Sheet1!C712,Sheet1!$C$2:$C$1132,0)),"IDK")</f>
        <v>IT</v>
      </c>
      <c r="E712" t="s">
        <v>49</v>
      </c>
      <c r="F712" t="s">
        <v>52</v>
      </c>
      <c r="G712" s="1">
        <v>45553</v>
      </c>
      <c r="H712" t="s">
        <v>59</v>
      </c>
      <c r="I712" s="2" t="s">
        <v>166</v>
      </c>
      <c r="J712" s="2" t="s">
        <v>167</v>
      </c>
      <c r="K712">
        <f>IFERROR(INDEX(Sheet2!$C$2:$C$1132,MATCH(Sheet1!C712,Sheet1!$C$2:$C$1132,0)),"")</f>
        <v>35000</v>
      </c>
      <c r="L712">
        <f>IFERROR(INDEX(Sheet2!$D$2:$D$1132,MATCH(Sheet1!C712,$C$2:$C$1132,0)),"")</f>
        <v>70000</v>
      </c>
      <c r="M712" t="str">
        <f>IFERROR(INDEX($M$2:$M$1132,MATCH(B712,$B$2:$B$1132,0)),"")</f>
        <v>SQL, PYTHON, AWS, SPARK, ETL</v>
      </c>
      <c r="N712" t="s">
        <v>74</v>
      </c>
      <c r="O712" t="s">
        <v>37</v>
      </c>
    </row>
    <row r="713" spans="1:15" x14ac:dyDescent="0.25">
      <c r="A713">
        <v>18561</v>
      </c>
      <c r="B713" t="s">
        <v>15</v>
      </c>
      <c r="C713" t="s">
        <v>23</v>
      </c>
      <c r="D713" t="str">
        <f>IFERROR(INDEX(Sheet2!$B$2:$B$1132,MATCH(Sheet1!C713,Sheet1!$C$2:$C$1132,0)),"IDK")</f>
        <v>IT</v>
      </c>
      <c r="E713" t="s">
        <v>49</v>
      </c>
      <c r="F713" t="s">
        <v>52</v>
      </c>
      <c r="G713" s="1">
        <v>45499</v>
      </c>
      <c r="H713" t="s">
        <v>59</v>
      </c>
      <c r="I713" s="2" t="s">
        <v>168</v>
      </c>
      <c r="J713" s="2" t="s">
        <v>169</v>
      </c>
      <c r="K713">
        <f>IFERROR(INDEX(Sheet2!$C$2:$C$1132,MATCH(Sheet1!C713,Sheet1!$C$2:$C$1132,0)),"")</f>
        <v>35000</v>
      </c>
      <c r="L713">
        <f>IFERROR(INDEX(Sheet2!$D$2:$D$1132,MATCH(Sheet1!C713,$C$2:$C$1132,0)),"")</f>
        <v>70000</v>
      </c>
      <c r="M713" t="str">
        <f>IFERROR(INDEX($M$2:$M$1132,MATCH(B713,$B$2:$B$1132,0)),"")</f>
        <v>SQL, PYTHON, AWS, SPARK, ETL</v>
      </c>
      <c r="N713" t="s">
        <v>75</v>
      </c>
      <c r="O713" t="s">
        <v>37</v>
      </c>
    </row>
    <row r="714" spans="1:15" x14ac:dyDescent="0.25">
      <c r="A714">
        <v>18562</v>
      </c>
      <c r="B714" t="s">
        <v>15</v>
      </c>
      <c r="C714" t="s">
        <v>30</v>
      </c>
      <c r="D714" t="str">
        <f>IFERROR(INDEX(Sheet2!$B$2:$B$1132,MATCH(Sheet1!C714,Sheet1!$C$2:$C$1132,0)),"IDK")</f>
        <v>IT</v>
      </c>
      <c r="E714" t="s">
        <v>49</v>
      </c>
      <c r="F714" t="s">
        <v>52</v>
      </c>
      <c r="G714" s="1">
        <v>45630</v>
      </c>
      <c r="H714" t="s">
        <v>59</v>
      </c>
      <c r="I714" s="2" t="s">
        <v>168</v>
      </c>
      <c r="J714" s="2" t="s">
        <v>170</v>
      </c>
      <c r="K714">
        <f>IFERROR(INDEX(Sheet2!$C$2:$C$1132,MATCH(Sheet1!C714,Sheet1!$C$2:$C$1132,0)),"")</f>
        <v>25000</v>
      </c>
      <c r="L714">
        <f>IFERROR(INDEX(Sheet2!$D$2:$D$1132,MATCH(Sheet1!C714,$C$2:$C$1132,0)),"")</f>
        <v>60000</v>
      </c>
      <c r="M714" t="str">
        <f>IFERROR(INDEX($M$2:$M$1132,MATCH(B714,$B$2:$B$1132,0)),"")</f>
        <v>SQL, PYTHON, AWS, SPARK, ETL</v>
      </c>
      <c r="N714" t="s">
        <v>75</v>
      </c>
      <c r="O714" t="s">
        <v>37</v>
      </c>
    </row>
    <row r="715" spans="1:15" x14ac:dyDescent="0.25">
      <c r="A715">
        <v>18563</v>
      </c>
      <c r="B715" t="s">
        <v>15</v>
      </c>
      <c r="C715" t="s">
        <v>31</v>
      </c>
      <c r="D715" t="str">
        <f>IFERROR(INDEX(Sheet2!$B$2:$B$1132,MATCH(Sheet1!C715,Sheet1!$C$2:$C$1132,0)),"IDK")</f>
        <v>IT</v>
      </c>
      <c r="E715" t="s">
        <v>48</v>
      </c>
      <c r="F715" t="s">
        <v>52</v>
      </c>
      <c r="G715" s="1">
        <v>45620</v>
      </c>
      <c r="H715" t="s">
        <v>59</v>
      </c>
      <c r="I715" s="2" t="s">
        <v>171</v>
      </c>
      <c r="J715" s="2" t="s">
        <v>172</v>
      </c>
      <c r="K715">
        <f>IFERROR(INDEX(Sheet2!$C$2:$C$1132,MATCH(Sheet1!C715,Sheet1!$C$2:$C$1132,0)),"")</f>
        <v>25000</v>
      </c>
      <c r="L715">
        <f>IFERROR(INDEX(Sheet2!$D$2:$D$1132,MATCH(Sheet1!C715,$C$2:$C$1132,0)),"")</f>
        <v>75000</v>
      </c>
      <c r="M715" t="str">
        <f>IFERROR(INDEX($M$2:$M$1132,MATCH(B715,$B$2:$B$1132,0)),"")</f>
        <v>SQL, PYTHON, AWS, SPARK, ETL</v>
      </c>
      <c r="N715" t="s">
        <v>75</v>
      </c>
      <c r="O715" t="s">
        <v>37</v>
      </c>
    </row>
    <row r="716" spans="1:15" x14ac:dyDescent="0.25">
      <c r="A716">
        <v>18564</v>
      </c>
      <c r="B716" t="s">
        <v>15</v>
      </c>
      <c r="C716" t="s">
        <v>32</v>
      </c>
      <c r="D716" t="str">
        <f>IFERROR(INDEX(Sheet2!$B$2:$B$1132,MATCH(Sheet1!C716,Sheet1!$C$2:$C$1132,0)),"IDK")</f>
        <v>SOCIAL</v>
      </c>
      <c r="E716" t="s">
        <v>48</v>
      </c>
      <c r="F716" t="s">
        <v>52</v>
      </c>
      <c r="G716" s="1">
        <v>45576</v>
      </c>
      <c r="H716" t="s">
        <v>59</v>
      </c>
      <c r="I716" s="2" t="s">
        <v>161</v>
      </c>
      <c r="J716" s="2" t="s">
        <v>162</v>
      </c>
      <c r="K716">
        <f>IFERROR(INDEX(Sheet2!$C$2:$C$1132,MATCH(Sheet1!C716,Sheet1!$C$2:$C$1132,0)),"")</f>
        <v>20000</v>
      </c>
      <c r="L716">
        <f>IFERROR(INDEX(Sheet2!$D$2:$D$1132,MATCH(Sheet1!C716,$C$2:$C$1132,0)),"")</f>
        <v>70000</v>
      </c>
      <c r="M716" t="str">
        <f>IFERROR(INDEX($M$2:$M$1132,MATCH(B716,$B$2:$B$1132,0)),"")</f>
        <v>SQL, PYTHON, AWS, SPARK, ETL</v>
      </c>
      <c r="N716" t="s">
        <v>75</v>
      </c>
      <c r="O716" t="s">
        <v>37</v>
      </c>
    </row>
    <row r="717" spans="1:15" x14ac:dyDescent="0.25">
      <c r="A717">
        <v>18565</v>
      </c>
      <c r="B717" t="s">
        <v>15</v>
      </c>
      <c r="C717" t="s">
        <v>33</v>
      </c>
      <c r="D717" t="str">
        <f>IFERROR(INDEX(Sheet2!$B$2:$B$1132,MATCH(Sheet1!C717,Sheet1!$C$2:$C$1132,0)),"IDK")</f>
        <v>FINANCE</v>
      </c>
      <c r="E717" t="s">
        <v>51</v>
      </c>
      <c r="F717" t="s">
        <v>52</v>
      </c>
      <c r="G717" s="1">
        <v>45606</v>
      </c>
      <c r="H717" t="s">
        <v>59</v>
      </c>
      <c r="I717" s="2" t="s">
        <v>161</v>
      </c>
      <c r="J717" s="2" t="s">
        <v>163</v>
      </c>
      <c r="K717">
        <f>IFERROR(INDEX(Sheet2!$C$2:$C$1132,MATCH(Sheet1!C717,Sheet1!$C$2:$C$1132,0)),"")</f>
        <v>40000</v>
      </c>
      <c r="L717">
        <f>IFERROR(INDEX(Sheet2!$D$2:$D$1132,MATCH(Sheet1!C717,$C$2:$C$1132,0)),"")</f>
        <v>85000</v>
      </c>
      <c r="M717" t="str">
        <f>IFERROR(INDEX($M$2:$M$1132,MATCH(B717,$B$2:$B$1132,0)),"")</f>
        <v>SQL, PYTHON, AWS, SPARK, ETL</v>
      </c>
      <c r="N717" t="s">
        <v>75</v>
      </c>
      <c r="O717" t="s">
        <v>37</v>
      </c>
    </row>
    <row r="718" spans="1:15" x14ac:dyDescent="0.25">
      <c r="A718">
        <v>18566</v>
      </c>
      <c r="B718" t="s">
        <v>15</v>
      </c>
      <c r="C718" t="s">
        <v>23</v>
      </c>
      <c r="D718" t="str">
        <f>IFERROR(INDEX(Sheet2!$B$2:$B$1132,MATCH(Sheet1!C718,Sheet1!$C$2:$C$1132,0)),"IDK")</f>
        <v>IT</v>
      </c>
      <c r="E718" t="s">
        <v>48</v>
      </c>
      <c r="F718" t="s">
        <v>52</v>
      </c>
      <c r="G718" s="1">
        <v>45398</v>
      </c>
      <c r="H718" t="s">
        <v>59</v>
      </c>
      <c r="I718" s="2" t="s">
        <v>164</v>
      </c>
      <c r="J718" s="2" t="s">
        <v>165</v>
      </c>
      <c r="K718">
        <f>IFERROR(INDEX(Sheet2!$C$2:$C$1132,MATCH(Sheet1!C718,Sheet1!$C$2:$C$1132,0)),"")</f>
        <v>35000</v>
      </c>
      <c r="L718">
        <f>IFERROR(INDEX(Sheet2!$D$2:$D$1132,MATCH(Sheet1!C718,$C$2:$C$1132,0)),"")</f>
        <v>70000</v>
      </c>
      <c r="M718" t="str">
        <f>IFERROR(INDEX($M$2:$M$1132,MATCH(B718,$B$2:$B$1132,0)),"")</f>
        <v>SQL, PYTHON, AWS, SPARK, ETL</v>
      </c>
      <c r="N718" t="s">
        <v>75</v>
      </c>
      <c r="O718" t="s">
        <v>37</v>
      </c>
    </row>
    <row r="719" spans="1:15" x14ac:dyDescent="0.25">
      <c r="A719">
        <v>18567</v>
      </c>
      <c r="B719" t="s">
        <v>15</v>
      </c>
      <c r="C719" t="s">
        <v>24</v>
      </c>
      <c r="D719" t="str">
        <f>IFERROR(INDEX(Sheet2!$B$2:$B$1132,MATCH(Sheet1!C719,Sheet1!$C$2:$C$1132,0)),"IDK")</f>
        <v>HEALTH</v>
      </c>
      <c r="E719" t="s">
        <v>49</v>
      </c>
      <c r="F719" t="s">
        <v>53</v>
      </c>
      <c r="G719" s="1">
        <v>45344</v>
      </c>
      <c r="H719" t="s">
        <v>59</v>
      </c>
      <c r="I719" s="2" t="s">
        <v>166</v>
      </c>
      <c r="J719" s="2" t="s">
        <v>167</v>
      </c>
      <c r="K719">
        <f>IFERROR(INDEX(Sheet2!$C$2:$C$1132,MATCH(Sheet1!C719,Sheet1!$C$2:$C$1132,0)),"")</f>
        <v>25000</v>
      </c>
      <c r="L719">
        <f>IFERROR(INDEX(Sheet2!$D$2:$D$1132,MATCH(Sheet1!C719,$C$2:$C$1132,0)),"")</f>
        <v>50000</v>
      </c>
      <c r="M719" t="str">
        <f>IFERROR(INDEX($M$2:$M$1132,MATCH(B719,$B$2:$B$1132,0)),"")</f>
        <v>SQL, PYTHON, AWS, SPARK, ETL</v>
      </c>
      <c r="N719" t="s">
        <v>75</v>
      </c>
      <c r="O719" t="s">
        <v>37</v>
      </c>
    </row>
    <row r="720" spans="1:15" x14ac:dyDescent="0.25">
      <c r="A720">
        <v>18568</v>
      </c>
      <c r="B720" t="s">
        <v>15</v>
      </c>
      <c r="C720" t="s">
        <v>25</v>
      </c>
      <c r="D720" t="str">
        <f>IFERROR(INDEX(Sheet2!$B$2:$B$1132,MATCH(Sheet1!C720,Sheet1!$C$2:$C$1132,0)),"IDK")</f>
        <v>SOCIAL</v>
      </c>
      <c r="E720" t="s">
        <v>49</v>
      </c>
      <c r="F720" t="s">
        <v>53</v>
      </c>
      <c r="G720" s="1">
        <v>45621</v>
      </c>
      <c r="H720" t="s">
        <v>59</v>
      </c>
      <c r="I720" s="2" t="s">
        <v>168</v>
      </c>
      <c r="J720" s="2" t="s">
        <v>169</v>
      </c>
      <c r="K720">
        <f>IFERROR(INDEX(Sheet2!$C$2:$C$1132,MATCH(Sheet1!C720,Sheet1!$C$2:$C$1132,0)),"")</f>
        <v>30000</v>
      </c>
      <c r="L720">
        <f>IFERROR(INDEX(Sheet2!$D$2:$D$1132,MATCH(Sheet1!C720,$C$2:$C$1132,0)),"")</f>
        <v>60000</v>
      </c>
      <c r="M720" t="str">
        <f>IFERROR(INDEX($M$2:$M$1132,MATCH(B720,$B$2:$B$1132,0)),"")</f>
        <v>SQL, PYTHON, AWS, SPARK, ETL</v>
      </c>
      <c r="N720" t="s">
        <v>75</v>
      </c>
      <c r="O720" t="s">
        <v>37</v>
      </c>
    </row>
    <row r="721" spans="1:15" x14ac:dyDescent="0.25">
      <c r="A721">
        <v>18569</v>
      </c>
      <c r="B721" t="s">
        <v>15</v>
      </c>
      <c r="C721" t="s">
        <v>26</v>
      </c>
      <c r="D721" t="str">
        <f>IFERROR(INDEX(Sheet2!$B$2:$B$1132,MATCH(Sheet1!C721,Sheet1!$C$2:$C$1132,0)),"IDK")</f>
        <v>FINANCE</v>
      </c>
      <c r="E721" t="s">
        <v>49</v>
      </c>
      <c r="F721" t="s">
        <v>53</v>
      </c>
      <c r="G721" s="1">
        <v>45337</v>
      </c>
      <c r="H721" t="s">
        <v>59</v>
      </c>
      <c r="I721" s="2" t="s">
        <v>168</v>
      </c>
      <c r="J721" s="2" t="s">
        <v>170</v>
      </c>
      <c r="K721">
        <f>IFERROR(INDEX(Sheet2!$C$2:$C$1132,MATCH(Sheet1!C721,Sheet1!$C$2:$C$1132,0)),"")</f>
        <v>35000</v>
      </c>
      <c r="L721">
        <f>IFERROR(INDEX(Sheet2!$D$2:$D$1132,MATCH(Sheet1!C721,$C$2:$C$1132,0)),"")</f>
        <v>75000</v>
      </c>
      <c r="M721" t="str">
        <f>IFERROR(INDEX($M$2:$M$1132,MATCH(B721,$B$2:$B$1132,0)),"")</f>
        <v>SQL, PYTHON, AWS, SPARK, ETL</v>
      </c>
      <c r="N721" t="s">
        <v>75</v>
      </c>
      <c r="O721" t="s">
        <v>37</v>
      </c>
    </row>
    <row r="722" spans="1:15" x14ac:dyDescent="0.25">
      <c r="A722">
        <v>18570</v>
      </c>
      <c r="B722" t="s">
        <v>15</v>
      </c>
      <c r="C722" t="s">
        <v>37</v>
      </c>
      <c r="D722" t="s">
        <v>43</v>
      </c>
      <c r="E722" t="s">
        <v>49</v>
      </c>
      <c r="F722" t="s">
        <v>53</v>
      </c>
      <c r="G722" s="1">
        <v>45603</v>
      </c>
      <c r="H722" t="s">
        <v>59</v>
      </c>
      <c r="I722" s="2" t="s">
        <v>171</v>
      </c>
      <c r="J722" s="2" t="s">
        <v>172</v>
      </c>
      <c r="K722">
        <v>45000</v>
      </c>
      <c r="L722">
        <v>90000</v>
      </c>
      <c r="M722" t="str">
        <f>IFERROR(INDEX($M$2:$M$1132,MATCH(B722,$B$2:$B$1132,0)),"")</f>
        <v>SQL, PYTHON, AWS, SPARK, ETL</v>
      </c>
      <c r="N722" t="s">
        <v>76</v>
      </c>
      <c r="O722" t="s">
        <v>37</v>
      </c>
    </row>
    <row r="723" spans="1:15" x14ac:dyDescent="0.25">
      <c r="A723">
        <v>18571</v>
      </c>
      <c r="B723" t="s">
        <v>15</v>
      </c>
      <c r="C723" t="s">
        <v>38</v>
      </c>
      <c r="D723" t="s">
        <v>42</v>
      </c>
      <c r="E723" t="s">
        <v>49</v>
      </c>
      <c r="F723" t="s">
        <v>52</v>
      </c>
      <c r="G723" s="1">
        <v>45340</v>
      </c>
      <c r="H723" t="s">
        <v>59</v>
      </c>
      <c r="I723" s="2" t="s">
        <v>161</v>
      </c>
      <c r="J723" s="2" t="s">
        <v>162</v>
      </c>
      <c r="K723">
        <v>20000</v>
      </c>
      <c r="L723">
        <v>80000</v>
      </c>
      <c r="M723" t="str">
        <f>IFERROR(INDEX($M$2:$M$1132,MATCH(B723,$B$2:$B$1132,0)),"")</f>
        <v>SQL, PYTHON, AWS, SPARK, ETL</v>
      </c>
      <c r="N723" t="s">
        <v>76</v>
      </c>
      <c r="O723" t="s">
        <v>37</v>
      </c>
    </row>
    <row r="724" spans="1:15" x14ac:dyDescent="0.25">
      <c r="A724">
        <v>18572</v>
      </c>
      <c r="B724" t="s">
        <v>15</v>
      </c>
      <c r="C724" t="s">
        <v>39</v>
      </c>
      <c r="D724" t="s">
        <v>42</v>
      </c>
      <c r="E724" t="s">
        <v>49</v>
      </c>
      <c r="F724" t="s">
        <v>52</v>
      </c>
      <c r="G724" s="1">
        <v>45535</v>
      </c>
      <c r="H724" t="s">
        <v>59</v>
      </c>
      <c r="I724" s="2" t="s">
        <v>161</v>
      </c>
      <c r="J724" s="2" t="s">
        <v>163</v>
      </c>
      <c r="K724">
        <v>25000</v>
      </c>
      <c r="L724">
        <v>85000</v>
      </c>
      <c r="M724" t="str">
        <f>IFERROR(INDEX($M$2:$M$1132,MATCH(B724,$B$2:$B$1132,0)),"")</f>
        <v>SQL, PYTHON, AWS, SPARK, ETL</v>
      </c>
      <c r="N724" t="s">
        <v>76</v>
      </c>
      <c r="O724" t="s">
        <v>37</v>
      </c>
    </row>
    <row r="725" spans="1:15" x14ac:dyDescent="0.25">
      <c r="A725">
        <v>18573</v>
      </c>
      <c r="B725" t="s">
        <v>15</v>
      </c>
      <c r="C725" t="s">
        <v>23</v>
      </c>
      <c r="D725" t="str">
        <f>IFERROR(INDEX(Sheet2!$B$2:$B$1132,MATCH(Sheet1!C725,Sheet1!$C$2:$C$1132,0)),"IDK")</f>
        <v>IT</v>
      </c>
      <c r="E725" t="s">
        <v>51</v>
      </c>
      <c r="F725" t="s">
        <v>52</v>
      </c>
      <c r="G725" s="1">
        <v>45627</v>
      </c>
      <c r="H725" t="s">
        <v>59</v>
      </c>
      <c r="I725" s="2" t="s">
        <v>164</v>
      </c>
      <c r="J725" s="2" t="s">
        <v>165</v>
      </c>
      <c r="K725">
        <f>IFERROR(INDEX(Sheet2!$C$2:$C$1132,MATCH(Sheet1!C725,Sheet1!$C$2:$C$1132,0)),"")</f>
        <v>35000</v>
      </c>
      <c r="L725">
        <f>IFERROR(INDEX(Sheet2!$D$2:$D$1132,MATCH(Sheet1!C725,$C$2:$C$1132,0)),"")</f>
        <v>70000</v>
      </c>
      <c r="M725" t="str">
        <f>IFERROR(INDEX($M$2:$M$1132,MATCH(B725,$B$2:$B$1132,0)),"")</f>
        <v>SQL, PYTHON, AWS, SPARK, ETL</v>
      </c>
      <c r="N725" t="s">
        <v>76</v>
      </c>
      <c r="O725" t="s">
        <v>37</v>
      </c>
    </row>
    <row r="726" spans="1:15" x14ac:dyDescent="0.25">
      <c r="A726">
        <v>18574</v>
      </c>
      <c r="B726" t="s">
        <v>15</v>
      </c>
      <c r="C726" t="s">
        <v>30</v>
      </c>
      <c r="D726" t="str">
        <f>IFERROR(INDEX(Sheet2!$B$2:$B$1132,MATCH(Sheet1!C726,Sheet1!$C$2:$C$1132,0)),"IDK")</f>
        <v>IT</v>
      </c>
      <c r="E726" t="s">
        <v>51</v>
      </c>
      <c r="F726" t="s">
        <v>52</v>
      </c>
      <c r="G726" s="1">
        <v>45483</v>
      </c>
      <c r="H726" t="s">
        <v>59</v>
      </c>
      <c r="I726" s="2" t="s">
        <v>166</v>
      </c>
      <c r="J726" s="2" t="s">
        <v>167</v>
      </c>
      <c r="K726">
        <f>IFERROR(INDEX(Sheet2!$C$2:$C$1132,MATCH(Sheet1!C726,Sheet1!$C$2:$C$1132,0)),"")</f>
        <v>25000</v>
      </c>
      <c r="L726">
        <f>IFERROR(INDEX(Sheet2!$D$2:$D$1132,MATCH(Sheet1!C726,$C$2:$C$1132,0)),"")</f>
        <v>60000</v>
      </c>
      <c r="M726" t="str">
        <f>IFERROR(INDEX($M$2:$M$1132,MATCH(B726,$B$2:$B$1132,0)),"")</f>
        <v>SQL, PYTHON, AWS, SPARK, ETL</v>
      </c>
      <c r="N726" t="s">
        <v>76</v>
      </c>
      <c r="O726" t="s">
        <v>37</v>
      </c>
    </row>
    <row r="727" spans="1:15" x14ac:dyDescent="0.25">
      <c r="A727">
        <v>18575</v>
      </c>
      <c r="B727" t="s">
        <v>15</v>
      </c>
      <c r="C727" t="s">
        <v>31</v>
      </c>
      <c r="D727" t="str">
        <f>IFERROR(INDEX(Sheet2!$B$2:$B$1132,MATCH(Sheet1!C727,Sheet1!$C$2:$C$1132,0)),"IDK")</f>
        <v>IT</v>
      </c>
      <c r="E727" t="s">
        <v>51</v>
      </c>
      <c r="F727" t="s">
        <v>52</v>
      </c>
      <c r="G727" s="1">
        <v>45452</v>
      </c>
      <c r="H727" t="s">
        <v>59</v>
      </c>
      <c r="I727" s="2" t="s">
        <v>168</v>
      </c>
      <c r="J727" s="2" t="s">
        <v>169</v>
      </c>
      <c r="K727">
        <f>IFERROR(INDEX(Sheet2!$C$2:$C$1132,MATCH(Sheet1!C727,Sheet1!$C$2:$C$1132,0)),"")</f>
        <v>25000</v>
      </c>
      <c r="L727">
        <f>IFERROR(INDEX(Sheet2!$D$2:$D$1132,MATCH(Sheet1!C727,$C$2:$C$1132,0)),"")</f>
        <v>75000</v>
      </c>
      <c r="M727" t="str">
        <f>IFERROR(INDEX($M$2:$M$1132,MATCH(B727,$B$2:$B$1132,0)),"")</f>
        <v>SQL, PYTHON, AWS, SPARK, ETL</v>
      </c>
      <c r="N727" t="s">
        <v>76</v>
      </c>
      <c r="O727" t="s">
        <v>37</v>
      </c>
    </row>
    <row r="728" spans="1:15" x14ac:dyDescent="0.25">
      <c r="A728">
        <v>18576</v>
      </c>
      <c r="B728" t="s">
        <v>15</v>
      </c>
      <c r="C728" t="s">
        <v>32</v>
      </c>
      <c r="D728" t="str">
        <f>IFERROR(INDEX(Sheet2!$B$2:$B$1132,MATCH(Sheet1!C728,Sheet1!$C$2:$C$1132,0)),"IDK")</f>
        <v>SOCIAL</v>
      </c>
      <c r="E728" t="s">
        <v>51</v>
      </c>
      <c r="F728" t="s">
        <v>52</v>
      </c>
      <c r="G728" s="1">
        <v>45371</v>
      </c>
      <c r="H728" t="s">
        <v>59</v>
      </c>
      <c r="I728" s="2" t="s">
        <v>168</v>
      </c>
      <c r="J728" s="2" t="s">
        <v>170</v>
      </c>
      <c r="K728">
        <f>IFERROR(INDEX(Sheet2!$C$2:$C$1132,MATCH(Sheet1!C728,Sheet1!$C$2:$C$1132,0)),"")</f>
        <v>20000</v>
      </c>
      <c r="L728">
        <f>IFERROR(INDEX(Sheet2!$D$2:$D$1132,MATCH(Sheet1!C728,$C$2:$C$1132,0)),"")</f>
        <v>70000</v>
      </c>
      <c r="M728" t="str">
        <f>IFERROR(INDEX($M$2:$M$1132,MATCH(B728,$B$2:$B$1132,0)),"")</f>
        <v>SQL, PYTHON, AWS, SPARK, ETL</v>
      </c>
      <c r="N728" t="s">
        <v>76</v>
      </c>
      <c r="O728" t="s">
        <v>37</v>
      </c>
    </row>
    <row r="729" spans="1:15" x14ac:dyDescent="0.25">
      <c r="A729">
        <v>18577</v>
      </c>
      <c r="B729" t="s">
        <v>15</v>
      </c>
      <c r="C729" t="s">
        <v>33</v>
      </c>
      <c r="D729" t="str">
        <f>IFERROR(INDEX(Sheet2!$B$2:$B$1132,MATCH(Sheet1!C729,Sheet1!$C$2:$C$1132,0)),"IDK")</f>
        <v>FINANCE</v>
      </c>
      <c r="E729" t="s">
        <v>51</v>
      </c>
      <c r="F729" t="s">
        <v>52</v>
      </c>
      <c r="G729" s="1">
        <v>45435</v>
      </c>
      <c r="H729" t="s">
        <v>59</v>
      </c>
      <c r="I729" s="2" t="s">
        <v>171</v>
      </c>
      <c r="J729" s="2" t="s">
        <v>172</v>
      </c>
      <c r="K729">
        <f>IFERROR(INDEX(Sheet2!$C$2:$C$1132,MATCH(Sheet1!C729,Sheet1!$C$2:$C$1132,0)),"")</f>
        <v>40000</v>
      </c>
      <c r="L729">
        <f>IFERROR(INDEX(Sheet2!$D$2:$D$1132,MATCH(Sheet1!C729,$C$2:$C$1132,0)),"")</f>
        <v>85000</v>
      </c>
      <c r="M729" t="str">
        <f>IFERROR(INDEX($M$2:$M$1132,MATCH(B729,$B$2:$B$1132,0)),"")</f>
        <v>SQL, PYTHON, AWS, SPARK, ETL</v>
      </c>
      <c r="N729" t="s">
        <v>74</v>
      </c>
      <c r="O729" t="s">
        <v>37</v>
      </c>
    </row>
    <row r="730" spans="1:15" x14ac:dyDescent="0.25">
      <c r="A730">
        <v>18578</v>
      </c>
      <c r="B730" t="s">
        <v>15</v>
      </c>
      <c r="C730" t="s">
        <v>23</v>
      </c>
      <c r="D730" t="str">
        <f>IFERROR(INDEX(Sheet2!$B$2:$B$1132,MATCH(Sheet1!C730,Sheet1!$C$2:$C$1132,0)),"IDK")</f>
        <v>IT</v>
      </c>
      <c r="E730" t="s">
        <v>51</v>
      </c>
      <c r="F730" t="s">
        <v>52</v>
      </c>
      <c r="G730" s="1">
        <v>45634</v>
      </c>
      <c r="H730" t="s">
        <v>59</v>
      </c>
      <c r="I730" s="2" t="s">
        <v>166</v>
      </c>
      <c r="J730" s="2" t="s">
        <v>167</v>
      </c>
      <c r="K730">
        <f>IFERROR(INDEX(Sheet2!$C$2:$C$1132,MATCH(Sheet1!C730,Sheet1!$C$2:$C$1132,0)),"")</f>
        <v>35000</v>
      </c>
      <c r="L730">
        <f>IFERROR(INDEX(Sheet2!$D$2:$D$1132,MATCH(Sheet1!C730,$C$2:$C$1132,0)),"")</f>
        <v>70000</v>
      </c>
      <c r="M730" t="str">
        <f>IFERROR(INDEX($M$2:$M$1132,MATCH(B730,$B$2:$B$1132,0)),"")</f>
        <v>SQL, PYTHON, AWS, SPARK, ETL</v>
      </c>
      <c r="N730" t="s">
        <v>74</v>
      </c>
      <c r="O730" t="s">
        <v>37</v>
      </c>
    </row>
    <row r="731" spans="1:15" x14ac:dyDescent="0.25">
      <c r="A731">
        <v>18579</v>
      </c>
      <c r="B731" t="s">
        <v>15</v>
      </c>
      <c r="C731" t="s">
        <v>24</v>
      </c>
      <c r="D731" t="str">
        <f>IFERROR(INDEX(Sheet2!$B$2:$B$1132,MATCH(Sheet1!C731,Sheet1!$C$2:$C$1132,0)),"IDK")</f>
        <v>HEALTH</v>
      </c>
      <c r="E731" t="s">
        <v>51</v>
      </c>
      <c r="F731" t="s">
        <v>52</v>
      </c>
      <c r="G731" s="1">
        <v>45518</v>
      </c>
      <c r="H731" t="s">
        <v>59</v>
      </c>
      <c r="I731" s="2" t="s">
        <v>168</v>
      </c>
      <c r="J731" s="2" t="s">
        <v>169</v>
      </c>
      <c r="K731">
        <f>IFERROR(INDEX(Sheet2!$C$2:$C$1132,MATCH(Sheet1!C731,Sheet1!$C$2:$C$1132,0)),"")</f>
        <v>25000</v>
      </c>
      <c r="L731">
        <f>IFERROR(INDEX(Sheet2!$D$2:$D$1132,MATCH(Sheet1!C731,$C$2:$C$1132,0)),"")</f>
        <v>50000</v>
      </c>
      <c r="M731" t="str">
        <f>IFERROR(INDEX($M$2:$M$1132,MATCH(B731,$B$2:$B$1132,0)),"")</f>
        <v>SQL, PYTHON, AWS, SPARK, ETL</v>
      </c>
      <c r="N731" t="s">
        <v>74</v>
      </c>
      <c r="O731" t="s">
        <v>37</v>
      </c>
    </row>
    <row r="732" spans="1:15" x14ac:dyDescent="0.25">
      <c r="A732">
        <v>18580</v>
      </c>
      <c r="B732" t="s">
        <v>15</v>
      </c>
      <c r="C732" t="s">
        <v>25</v>
      </c>
      <c r="D732" t="str">
        <f>IFERROR(INDEX(Sheet2!$B$2:$B$1132,MATCH(Sheet1!C732,Sheet1!$C$2:$C$1132,0)),"IDK")</f>
        <v>SOCIAL</v>
      </c>
      <c r="E732" t="s">
        <v>51</v>
      </c>
      <c r="F732" t="s">
        <v>52</v>
      </c>
      <c r="G732" s="1">
        <v>45494</v>
      </c>
      <c r="H732" t="s">
        <v>59</v>
      </c>
      <c r="I732" s="2" t="s">
        <v>168</v>
      </c>
      <c r="J732" s="2" t="s">
        <v>170</v>
      </c>
      <c r="K732">
        <f>IFERROR(INDEX(Sheet2!$C$2:$C$1132,MATCH(Sheet1!C732,Sheet1!$C$2:$C$1132,0)),"")</f>
        <v>30000</v>
      </c>
      <c r="L732">
        <f>IFERROR(INDEX(Sheet2!$D$2:$D$1132,MATCH(Sheet1!C732,$C$2:$C$1132,0)),"")</f>
        <v>60000</v>
      </c>
      <c r="M732" t="str">
        <f>IFERROR(INDEX($M$2:$M$1132,MATCH(B732,$B$2:$B$1132,0)),"")</f>
        <v>SQL, PYTHON, AWS, SPARK, ETL</v>
      </c>
      <c r="N732" t="s">
        <v>74</v>
      </c>
      <c r="O732" t="s">
        <v>37</v>
      </c>
    </row>
    <row r="733" spans="1:15" x14ac:dyDescent="0.25">
      <c r="A733">
        <v>18581</v>
      </c>
      <c r="B733" t="s">
        <v>15</v>
      </c>
      <c r="C733" t="s">
        <v>26</v>
      </c>
      <c r="D733" t="str">
        <f>IFERROR(INDEX(Sheet2!$B$2:$B$1132,MATCH(Sheet1!C733,Sheet1!$C$2:$C$1132,0)),"IDK")</f>
        <v>FINANCE</v>
      </c>
      <c r="E733" t="s">
        <v>51</v>
      </c>
      <c r="F733" t="s">
        <v>52</v>
      </c>
      <c r="G733" s="1">
        <v>45361</v>
      </c>
      <c r="H733" t="s">
        <v>59</v>
      </c>
      <c r="I733" s="2" t="s">
        <v>166</v>
      </c>
      <c r="J733" s="2" t="s">
        <v>167</v>
      </c>
      <c r="K733">
        <f>IFERROR(INDEX(Sheet2!$C$2:$C$1132,MATCH(Sheet1!C733,Sheet1!$C$2:$C$1132,0)),"")</f>
        <v>35000</v>
      </c>
      <c r="L733">
        <f>IFERROR(INDEX(Sheet2!$D$2:$D$1132,MATCH(Sheet1!C733,$C$2:$C$1132,0)),"")</f>
        <v>75000</v>
      </c>
      <c r="M733" t="str">
        <f>IFERROR(INDEX($M$2:$M$1132,MATCH(B733,$B$2:$B$1132,0)),"")</f>
        <v>SQL, PYTHON, AWS, SPARK, ETL</v>
      </c>
      <c r="N733" t="s">
        <v>74</v>
      </c>
      <c r="O733" t="s">
        <v>78</v>
      </c>
    </row>
    <row r="734" spans="1:15" x14ac:dyDescent="0.25">
      <c r="A734">
        <v>18582</v>
      </c>
      <c r="B734" t="s">
        <v>15</v>
      </c>
      <c r="C734" t="s">
        <v>27</v>
      </c>
      <c r="D734" t="str">
        <f>IFERROR(INDEX(Sheet2!$B$2:$B$1132,MATCH(Sheet1!C734,Sheet1!$C$2:$C$1132,0)),"IDK")</f>
        <v>IT</v>
      </c>
      <c r="E734" t="s">
        <v>51</v>
      </c>
      <c r="F734" t="s">
        <v>52</v>
      </c>
      <c r="G734" s="1">
        <v>45602</v>
      </c>
      <c r="H734" t="s">
        <v>59</v>
      </c>
      <c r="I734" s="2" t="s">
        <v>168</v>
      </c>
      <c r="J734" s="2" t="s">
        <v>169</v>
      </c>
      <c r="K734">
        <f>IFERROR(INDEX(Sheet2!$C$2:$C$1132,MATCH(Sheet1!C734,Sheet1!$C$2:$C$1132,0)),"")</f>
        <v>40000</v>
      </c>
      <c r="L734">
        <f>IFERROR(INDEX(Sheet2!$D$2:$D$1132,MATCH(Sheet1!C734,$C$2:$C$1132,0)),"")</f>
        <v>80000</v>
      </c>
      <c r="M734" t="str">
        <f>IFERROR(INDEX($M$2:$M$1132,MATCH(B734,$B$2:$B$1132,0)),"")</f>
        <v>SQL, PYTHON, AWS, SPARK, ETL</v>
      </c>
      <c r="N734" t="s">
        <v>74</v>
      </c>
      <c r="O734" t="s">
        <v>78</v>
      </c>
    </row>
    <row r="735" spans="1:15" x14ac:dyDescent="0.25">
      <c r="A735">
        <v>18583</v>
      </c>
      <c r="B735" t="s">
        <v>15</v>
      </c>
      <c r="C735" t="s">
        <v>28</v>
      </c>
      <c r="D735" t="str">
        <f>IFERROR(INDEX(Sheet2!$B$2:$B$1132,MATCH(Sheet1!C735,Sheet1!$C$2:$C$1132,0)),"IDK")</f>
        <v>IT</v>
      </c>
      <c r="E735" t="s">
        <v>51</v>
      </c>
      <c r="F735" t="s">
        <v>52</v>
      </c>
      <c r="G735" s="1">
        <v>45450</v>
      </c>
      <c r="H735" t="s">
        <v>59</v>
      </c>
      <c r="I735" s="2" t="s">
        <v>168</v>
      </c>
      <c r="J735" s="2" t="s">
        <v>170</v>
      </c>
      <c r="K735">
        <f>IFERROR(INDEX(Sheet2!$C$2:$C$1132,MATCH(Sheet1!C735,Sheet1!$C$2:$C$1132,0)),"")</f>
        <v>30000</v>
      </c>
      <c r="L735">
        <f>IFERROR(INDEX(Sheet2!$D$2:$D$1132,MATCH(Sheet1!C735,$C$2:$C$1132,0)),"")</f>
        <v>55000</v>
      </c>
      <c r="M735" t="str">
        <f>IFERROR(INDEX($M$2:$M$1132,MATCH(B735,$B$2:$B$1132,0)),"")</f>
        <v>SQL, PYTHON, AWS, SPARK, ETL</v>
      </c>
      <c r="N735" t="s">
        <v>74</v>
      </c>
      <c r="O735" t="s">
        <v>78</v>
      </c>
    </row>
    <row r="736" spans="1:15" x14ac:dyDescent="0.25">
      <c r="A736">
        <v>18584</v>
      </c>
      <c r="B736" t="s">
        <v>15</v>
      </c>
      <c r="C736" t="s">
        <v>29</v>
      </c>
      <c r="D736" t="str">
        <f>IFERROR(INDEX(Sheet2!$B$2:$B$1132,MATCH(Sheet1!C736,Sheet1!$C$2:$C$1132,0)),"IDK")</f>
        <v>IT</v>
      </c>
      <c r="E736" t="s">
        <v>51</v>
      </c>
      <c r="F736" t="s">
        <v>52</v>
      </c>
      <c r="G736" s="1">
        <v>45643</v>
      </c>
      <c r="H736" t="s">
        <v>59</v>
      </c>
      <c r="I736" s="2" t="s">
        <v>171</v>
      </c>
      <c r="J736" s="2" t="s">
        <v>172</v>
      </c>
      <c r="K736">
        <f>IFERROR(INDEX(Sheet2!$C$2:$C$1132,MATCH(Sheet1!C736,Sheet1!$C$2:$C$1132,0)),"")</f>
        <v>35000</v>
      </c>
      <c r="L736">
        <f>IFERROR(INDEX(Sheet2!$D$2:$D$1132,MATCH(Sheet1!C736,$C$2:$C$1132,0)),"")</f>
        <v>70000</v>
      </c>
      <c r="M736" t="str">
        <f>IFERROR(INDEX($M$2:$M$1132,MATCH(B736,$B$2:$B$1132,0)),"")</f>
        <v>SQL, PYTHON, AWS, SPARK, ETL</v>
      </c>
      <c r="N736" t="s">
        <v>74</v>
      </c>
      <c r="O736" t="s">
        <v>78</v>
      </c>
    </row>
    <row r="737" spans="1:15" x14ac:dyDescent="0.25">
      <c r="A737">
        <v>18585</v>
      </c>
      <c r="B737" t="s">
        <v>15</v>
      </c>
      <c r="C737" t="s">
        <v>23</v>
      </c>
      <c r="D737" t="str">
        <f>IFERROR(INDEX(Sheet2!$B$2:$B$1132,MATCH(Sheet1!C737,Sheet1!$C$2:$C$1132,0)),"IDK")</f>
        <v>IT</v>
      </c>
      <c r="E737" t="s">
        <v>51</v>
      </c>
      <c r="F737" t="s">
        <v>52</v>
      </c>
      <c r="G737" s="1">
        <v>45629</v>
      </c>
      <c r="H737" t="s">
        <v>59</v>
      </c>
      <c r="I737" s="2" t="s">
        <v>161</v>
      </c>
      <c r="J737" s="2" t="s">
        <v>162</v>
      </c>
      <c r="K737">
        <f>IFERROR(INDEX(Sheet2!$C$2:$C$1132,MATCH(Sheet1!C737,Sheet1!$C$2:$C$1132,0)),"")</f>
        <v>35000</v>
      </c>
      <c r="L737">
        <f>IFERROR(INDEX(Sheet2!$D$2:$D$1132,MATCH(Sheet1!C737,$C$2:$C$1132,0)),"")</f>
        <v>70000</v>
      </c>
      <c r="M737" t="str">
        <f>IFERROR(INDEX($M$2:$M$1132,MATCH(B737,$B$2:$B$1132,0)),"")</f>
        <v>SQL, PYTHON, AWS, SPARK, ETL</v>
      </c>
      <c r="N737" t="s">
        <v>74</v>
      </c>
      <c r="O737" t="s">
        <v>78</v>
      </c>
    </row>
    <row r="738" spans="1:15" x14ac:dyDescent="0.25">
      <c r="A738">
        <v>18586</v>
      </c>
      <c r="B738" t="s">
        <v>15</v>
      </c>
      <c r="C738" t="s">
        <v>30</v>
      </c>
      <c r="D738" t="str">
        <f>IFERROR(INDEX(Sheet2!$B$2:$B$1132,MATCH(Sheet1!C738,Sheet1!$C$2:$C$1132,0)),"IDK")</f>
        <v>IT</v>
      </c>
      <c r="E738" t="s">
        <v>51</v>
      </c>
      <c r="F738" t="s">
        <v>52</v>
      </c>
      <c r="G738" s="1">
        <v>45312</v>
      </c>
      <c r="H738" t="s">
        <v>59</v>
      </c>
      <c r="I738" s="2" t="s">
        <v>168</v>
      </c>
      <c r="J738" s="2" t="s">
        <v>169</v>
      </c>
      <c r="K738">
        <f>IFERROR(INDEX(Sheet2!$C$2:$C$1132,MATCH(Sheet1!C738,Sheet1!$C$2:$C$1132,0)),"")</f>
        <v>25000</v>
      </c>
      <c r="L738">
        <f>IFERROR(INDEX(Sheet2!$D$2:$D$1132,MATCH(Sheet1!C738,$C$2:$C$1132,0)),"")</f>
        <v>60000</v>
      </c>
      <c r="M738" t="str">
        <f>IFERROR(INDEX($M$2:$M$1132,MATCH(B738,$B$2:$B$1132,0)),"")</f>
        <v>SQL, PYTHON, AWS, SPARK, ETL</v>
      </c>
      <c r="N738" t="s">
        <v>75</v>
      </c>
      <c r="O738" t="s">
        <v>78</v>
      </c>
    </row>
    <row r="739" spans="1:15" x14ac:dyDescent="0.25">
      <c r="A739">
        <v>18587</v>
      </c>
      <c r="B739" t="s">
        <v>15</v>
      </c>
      <c r="C739" t="s">
        <v>31</v>
      </c>
      <c r="D739" t="str">
        <f>IFERROR(INDEX(Sheet2!$B$2:$B$1132,MATCH(Sheet1!C739,Sheet1!$C$2:$C$1132,0)),"IDK")</f>
        <v>IT</v>
      </c>
      <c r="E739" t="s">
        <v>51</v>
      </c>
      <c r="F739" t="s">
        <v>52</v>
      </c>
      <c r="G739" s="1">
        <v>45390</v>
      </c>
      <c r="H739" t="s">
        <v>59</v>
      </c>
      <c r="I739" s="2" t="s">
        <v>161</v>
      </c>
      <c r="J739" s="2" t="s">
        <v>163</v>
      </c>
      <c r="K739">
        <f>IFERROR(INDEX(Sheet2!$C$2:$C$1132,MATCH(Sheet1!C739,Sheet1!$C$2:$C$1132,0)),"")</f>
        <v>25000</v>
      </c>
      <c r="L739">
        <f>IFERROR(INDEX(Sheet2!$D$2:$D$1132,MATCH(Sheet1!C739,$C$2:$C$1132,0)),"")</f>
        <v>75000</v>
      </c>
      <c r="M739" t="str">
        <f>IFERROR(INDEX($M$2:$M$1132,MATCH(B739,$B$2:$B$1132,0)),"")</f>
        <v>SQL, PYTHON, AWS, SPARK, ETL</v>
      </c>
      <c r="N739" t="s">
        <v>75</v>
      </c>
      <c r="O739" t="s">
        <v>78</v>
      </c>
    </row>
    <row r="740" spans="1:15" x14ac:dyDescent="0.25">
      <c r="A740">
        <v>18588</v>
      </c>
      <c r="B740" t="s">
        <v>15</v>
      </c>
      <c r="C740" t="s">
        <v>32</v>
      </c>
      <c r="D740" t="str">
        <f>IFERROR(INDEX(Sheet2!$B$2:$B$1132,MATCH(Sheet1!C740,Sheet1!$C$2:$C$1132,0)),"IDK")</f>
        <v>SOCIAL</v>
      </c>
      <c r="E740" t="s">
        <v>51</v>
      </c>
      <c r="F740" t="s">
        <v>52</v>
      </c>
      <c r="G740" s="1">
        <v>45399</v>
      </c>
      <c r="H740" t="s">
        <v>59</v>
      </c>
      <c r="I740" s="2" t="s">
        <v>164</v>
      </c>
      <c r="J740" s="2" t="s">
        <v>165</v>
      </c>
      <c r="K740">
        <f>IFERROR(INDEX(Sheet2!$C$2:$C$1132,MATCH(Sheet1!C740,Sheet1!$C$2:$C$1132,0)),"")</f>
        <v>20000</v>
      </c>
      <c r="L740">
        <f>IFERROR(INDEX(Sheet2!$D$2:$D$1132,MATCH(Sheet1!C740,$C$2:$C$1132,0)),"")</f>
        <v>70000</v>
      </c>
      <c r="M740" t="str">
        <f>IFERROR(INDEX($M$2:$M$1132,MATCH(B740,$B$2:$B$1132,0)),"")</f>
        <v>SQL, PYTHON, AWS, SPARK, ETL</v>
      </c>
      <c r="N740" t="s">
        <v>75</v>
      </c>
      <c r="O740" t="s">
        <v>78</v>
      </c>
    </row>
    <row r="741" spans="1:15" x14ac:dyDescent="0.25">
      <c r="A741">
        <v>18589</v>
      </c>
      <c r="B741" t="s">
        <v>15</v>
      </c>
      <c r="C741" t="s">
        <v>33</v>
      </c>
      <c r="D741" t="str">
        <f>IFERROR(INDEX(Sheet2!$B$2:$B$1132,MATCH(Sheet1!C741,Sheet1!$C$2:$C$1132,0)),"IDK")</f>
        <v>FINANCE</v>
      </c>
      <c r="E741" t="s">
        <v>51</v>
      </c>
      <c r="F741" t="s">
        <v>52</v>
      </c>
      <c r="G741" s="1">
        <v>45604</v>
      </c>
      <c r="H741" t="s">
        <v>59</v>
      </c>
      <c r="I741" s="2" t="s">
        <v>166</v>
      </c>
      <c r="J741" s="2" t="s">
        <v>167</v>
      </c>
      <c r="K741">
        <f>IFERROR(INDEX(Sheet2!$C$2:$C$1132,MATCH(Sheet1!C741,Sheet1!$C$2:$C$1132,0)),"")</f>
        <v>40000</v>
      </c>
      <c r="L741">
        <f>IFERROR(INDEX(Sheet2!$D$2:$D$1132,MATCH(Sheet1!C741,$C$2:$C$1132,0)),"")</f>
        <v>85000</v>
      </c>
      <c r="M741" t="str">
        <f>IFERROR(INDEX($M$2:$M$1132,MATCH(B741,$B$2:$B$1132,0)),"")</f>
        <v>SQL, PYTHON, AWS, SPARK, ETL</v>
      </c>
      <c r="N741" t="s">
        <v>75</v>
      </c>
      <c r="O741" t="s">
        <v>78</v>
      </c>
    </row>
    <row r="742" spans="1:15" x14ac:dyDescent="0.25">
      <c r="A742">
        <v>18590</v>
      </c>
      <c r="B742" t="s">
        <v>15</v>
      </c>
      <c r="C742" t="s">
        <v>24</v>
      </c>
      <c r="D742" t="str">
        <f>IFERROR(INDEX(Sheet2!$B$2:$B$1132,MATCH(Sheet1!C742,Sheet1!$C$2:$C$1132,0)),"IDK")</f>
        <v>HEALTH</v>
      </c>
      <c r="E742" t="s">
        <v>51</v>
      </c>
      <c r="F742" t="s">
        <v>52</v>
      </c>
      <c r="G742" s="1">
        <v>45322</v>
      </c>
      <c r="H742" t="s">
        <v>59</v>
      </c>
      <c r="I742" s="2" t="s">
        <v>168</v>
      </c>
      <c r="J742" s="2" t="s">
        <v>169</v>
      </c>
      <c r="K742">
        <f>IFERROR(INDEX(Sheet2!$C$2:$C$1132,MATCH(Sheet1!C742,Sheet1!$C$2:$C$1132,0)),"")</f>
        <v>25000</v>
      </c>
      <c r="L742">
        <f>IFERROR(INDEX(Sheet2!$D$2:$D$1132,MATCH(Sheet1!C742,$C$2:$C$1132,0)),"")</f>
        <v>50000</v>
      </c>
      <c r="M742" t="str">
        <f>IFERROR(INDEX($M$2:$M$1132,MATCH(B742,$B$2:$B$1132,0)),"")</f>
        <v>SQL, PYTHON, AWS, SPARK, ETL</v>
      </c>
      <c r="N742" t="s">
        <v>75</v>
      </c>
      <c r="O742" t="s">
        <v>78</v>
      </c>
    </row>
    <row r="743" spans="1:15" x14ac:dyDescent="0.25">
      <c r="A743">
        <v>18591</v>
      </c>
      <c r="B743" t="s">
        <v>15</v>
      </c>
      <c r="C743" t="s">
        <v>25</v>
      </c>
      <c r="D743" t="str">
        <f>IFERROR(INDEX(Sheet2!$B$2:$B$1132,MATCH(Sheet1!C743,Sheet1!$C$2:$C$1132,0)),"IDK")</f>
        <v>SOCIAL</v>
      </c>
      <c r="E743" t="s">
        <v>51</v>
      </c>
      <c r="F743" t="s">
        <v>52</v>
      </c>
      <c r="G743" s="1">
        <v>45555</v>
      </c>
      <c r="H743" t="s">
        <v>59</v>
      </c>
      <c r="I743" s="2" t="s">
        <v>168</v>
      </c>
      <c r="J743" s="2" t="s">
        <v>170</v>
      </c>
      <c r="K743">
        <f>IFERROR(INDEX(Sheet2!$C$2:$C$1132,MATCH(Sheet1!C743,Sheet1!$C$2:$C$1132,0)),"")</f>
        <v>30000</v>
      </c>
      <c r="L743">
        <f>IFERROR(INDEX(Sheet2!$D$2:$D$1132,MATCH(Sheet1!C743,$C$2:$C$1132,0)),"")</f>
        <v>60000</v>
      </c>
      <c r="M743" t="str">
        <f>IFERROR(INDEX($M$2:$M$1132,MATCH(B743,$B$2:$B$1132,0)),"")</f>
        <v>SQL, PYTHON, AWS, SPARK, ETL</v>
      </c>
      <c r="N743" t="s">
        <v>75</v>
      </c>
      <c r="O743" t="s">
        <v>78</v>
      </c>
    </row>
    <row r="744" spans="1:15" x14ac:dyDescent="0.25">
      <c r="A744">
        <v>18592</v>
      </c>
      <c r="B744" t="s">
        <v>15</v>
      </c>
      <c r="C744" t="s">
        <v>26</v>
      </c>
      <c r="D744" t="str">
        <f>IFERROR(INDEX(Sheet2!$B$2:$B$1132,MATCH(Sheet1!C744,Sheet1!$C$2:$C$1132,0)),"IDK")</f>
        <v>FINANCE</v>
      </c>
      <c r="E744" t="s">
        <v>51</v>
      </c>
      <c r="F744" t="s">
        <v>52</v>
      </c>
      <c r="G744" s="1">
        <v>45382</v>
      </c>
      <c r="H744" t="s">
        <v>59</v>
      </c>
      <c r="I744" s="2" t="s">
        <v>171</v>
      </c>
      <c r="J744" s="2" t="s">
        <v>172</v>
      </c>
      <c r="K744">
        <f>IFERROR(INDEX(Sheet2!$C$2:$C$1132,MATCH(Sheet1!C744,Sheet1!$C$2:$C$1132,0)),"")</f>
        <v>35000</v>
      </c>
      <c r="L744">
        <f>IFERROR(INDEX(Sheet2!$D$2:$D$1132,MATCH(Sheet1!C744,$C$2:$C$1132,0)),"")</f>
        <v>75000</v>
      </c>
      <c r="M744" t="str">
        <f>IFERROR(INDEX($M$2:$M$1132,MATCH(B744,$B$2:$B$1132,0)),"")</f>
        <v>SQL, PYTHON, AWS, SPARK, ETL</v>
      </c>
      <c r="N744" t="s">
        <v>75</v>
      </c>
      <c r="O744" t="s">
        <v>78</v>
      </c>
    </row>
    <row r="745" spans="1:15" x14ac:dyDescent="0.25">
      <c r="A745">
        <v>18593</v>
      </c>
      <c r="B745" t="s">
        <v>15</v>
      </c>
      <c r="C745" t="s">
        <v>27</v>
      </c>
      <c r="D745" t="str">
        <f>IFERROR(INDEX(Sheet2!$B$2:$B$1132,MATCH(Sheet1!C745,Sheet1!$C$2:$C$1132,0)),"IDK")</f>
        <v>IT</v>
      </c>
      <c r="E745" t="s">
        <v>51</v>
      </c>
      <c r="F745" t="s">
        <v>52</v>
      </c>
      <c r="G745" s="1">
        <v>45470</v>
      </c>
      <c r="H745" t="s">
        <v>59</v>
      </c>
      <c r="I745" s="2" t="s">
        <v>161</v>
      </c>
      <c r="J745" s="2" t="s">
        <v>162</v>
      </c>
      <c r="K745">
        <f>IFERROR(INDEX(Sheet2!$C$2:$C$1132,MATCH(Sheet1!C745,Sheet1!$C$2:$C$1132,0)),"")</f>
        <v>40000</v>
      </c>
      <c r="L745">
        <f>IFERROR(INDEX(Sheet2!$D$2:$D$1132,MATCH(Sheet1!C745,$C$2:$C$1132,0)),"")</f>
        <v>80000</v>
      </c>
      <c r="M745" t="str">
        <f>IFERROR(INDEX($M$2:$M$1132,MATCH(B745,$B$2:$B$1132,0)),"")</f>
        <v>SQL, PYTHON, AWS, SPARK, ETL</v>
      </c>
      <c r="N745" t="s">
        <v>75</v>
      </c>
      <c r="O745" t="s">
        <v>78</v>
      </c>
    </row>
    <row r="746" spans="1:15" x14ac:dyDescent="0.25">
      <c r="A746">
        <v>18594</v>
      </c>
      <c r="B746" t="s">
        <v>15</v>
      </c>
      <c r="C746" t="s">
        <v>28</v>
      </c>
      <c r="D746" t="str">
        <f>IFERROR(INDEX(Sheet2!$B$2:$B$1132,MATCH(Sheet1!C746,Sheet1!$C$2:$C$1132,0)),"IDK")</f>
        <v>IT</v>
      </c>
      <c r="E746" t="s">
        <v>51</v>
      </c>
      <c r="F746" t="s">
        <v>52</v>
      </c>
      <c r="G746" s="1">
        <v>45415</v>
      </c>
      <c r="H746" t="s">
        <v>59</v>
      </c>
      <c r="I746" s="2" t="s">
        <v>161</v>
      </c>
      <c r="J746" s="2" t="s">
        <v>163</v>
      </c>
      <c r="K746">
        <f>IFERROR(INDEX(Sheet2!$C$2:$C$1132,MATCH(Sheet1!C746,Sheet1!$C$2:$C$1132,0)),"")</f>
        <v>30000</v>
      </c>
      <c r="L746">
        <f>IFERROR(INDEX(Sheet2!$D$2:$D$1132,MATCH(Sheet1!C746,$C$2:$C$1132,0)),"")</f>
        <v>55000</v>
      </c>
      <c r="M746" t="str">
        <f>IFERROR(INDEX($M$2:$M$1132,MATCH(B746,$B$2:$B$1132,0)),"")</f>
        <v>SQL, PYTHON, AWS, SPARK, ETL</v>
      </c>
      <c r="N746" t="s">
        <v>75</v>
      </c>
      <c r="O746" t="s">
        <v>78</v>
      </c>
    </row>
    <row r="747" spans="1:15" x14ac:dyDescent="0.25">
      <c r="A747">
        <v>18595</v>
      </c>
      <c r="B747" t="s">
        <v>15</v>
      </c>
      <c r="C747" t="s">
        <v>29</v>
      </c>
      <c r="D747" t="str">
        <f>IFERROR(INDEX(Sheet2!$B$2:$B$1132,MATCH(Sheet1!C747,Sheet1!$C$2:$C$1132,0)),"IDK")</f>
        <v>IT</v>
      </c>
      <c r="E747" t="s">
        <v>51</v>
      </c>
      <c r="F747" t="s">
        <v>52</v>
      </c>
      <c r="G747" s="1">
        <v>45588</v>
      </c>
      <c r="H747" t="s">
        <v>59</v>
      </c>
      <c r="I747" s="2" t="s">
        <v>164</v>
      </c>
      <c r="J747" s="2" t="s">
        <v>165</v>
      </c>
      <c r="K747">
        <f>IFERROR(INDEX(Sheet2!$C$2:$C$1132,MATCH(Sheet1!C747,Sheet1!$C$2:$C$1132,0)),"")</f>
        <v>35000</v>
      </c>
      <c r="L747">
        <f>IFERROR(INDEX(Sheet2!$D$2:$D$1132,MATCH(Sheet1!C747,$C$2:$C$1132,0)),"")</f>
        <v>70000</v>
      </c>
      <c r="M747" t="str">
        <f>IFERROR(INDEX($M$2:$M$1132,MATCH(B747,$B$2:$B$1132,0)),"")</f>
        <v>SQL, PYTHON, AWS, SPARK, ETL</v>
      </c>
      <c r="N747" t="s">
        <v>76</v>
      </c>
      <c r="O747" t="s">
        <v>78</v>
      </c>
    </row>
    <row r="748" spans="1:15" x14ac:dyDescent="0.25">
      <c r="A748">
        <v>18596</v>
      </c>
      <c r="B748" t="s">
        <v>15</v>
      </c>
      <c r="C748" t="s">
        <v>23</v>
      </c>
      <c r="D748" t="str">
        <f>IFERROR(INDEX(Sheet2!$B$2:$B$1132,MATCH(Sheet1!C748,Sheet1!$C$2:$C$1132,0)),"IDK")</f>
        <v>IT</v>
      </c>
      <c r="E748" t="s">
        <v>51</v>
      </c>
      <c r="F748" t="s">
        <v>52</v>
      </c>
      <c r="G748" s="1">
        <v>45338</v>
      </c>
      <c r="H748" t="s">
        <v>59</v>
      </c>
      <c r="I748" s="2" t="s">
        <v>166</v>
      </c>
      <c r="J748" s="2" t="s">
        <v>167</v>
      </c>
      <c r="K748">
        <f>IFERROR(INDEX(Sheet2!$C$2:$C$1132,MATCH(Sheet1!C748,Sheet1!$C$2:$C$1132,0)),"")</f>
        <v>35000</v>
      </c>
      <c r="L748">
        <f>IFERROR(INDEX(Sheet2!$D$2:$D$1132,MATCH(Sheet1!C748,$C$2:$C$1132,0)),"")</f>
        <v>70000</v>
      </c>
      <c r="M748" t="str">
        <f>IFERROR(INDEX($M$2:$M$1132,MATCH(B748,$B$2:$B$1132,0)),"")</f>
        <v>SQL, PYTHON, AWS, SPARK, ETL</v>
      </c>
      <c r="N748" t="s">
        <v>76</v>
      </c>
      <c r="O748" t="s">
        <v>78</v>
      </c>
    </row>
    <row r="749" spans="1:15" x14ac:dyDescent="0.25">
      <c r="A749">
        <v>18597</v>
      </c>
      <c r="B749" t="s">
        <v>15</v>
      </c>
      <c r="C749" t="s">
        <v>30</v>
      </c>
      <c r="D749" t="str">
        <f>IFERROR(INDEX(Sheet2!$B$2:$B$1132,MATCH(Sheet1!C749,Sheet1!$C$2:$C$1132,0)),"IDK")</f>
        <v>IT</v>
      </c>
      <c r="E749" t="s">
        <v>51</v>
      </c>
      <c r="F749" t="s">
        <v>52</v>
      </c>
      <c r="G749" s="1">
        <v>45480</v>
      </c>
      <c r="H749" t="s">
        <v>59</v>
      </c>
      <c r="I749" s="2" t="s">
        <v>168</v>
      </c>
      <c r="J749" s="2" t="s">
        <v>169</v>
      </c>
      <c r="K749">
        <f>IFERROR(INDEX(Sheet2!$C$2:$C$1132,MATCH(Sheet1!C749,Sheet1!$C$2:$C$1132,0)),"")</f>
        <v>25000</v>
      </c>
      <c r="L749">
        <f>IFERROR(INDEX(Sheet2!$D$2:$D$1132,MATCH(Sheet1!C749,$C$2:$C$1132,0)),"")</f>
        <v>60000</v>
      </c>
      <c r="M749" t="str">
        <f>IFERROR(INDEX($M$2:$M$1132,MATCH(B749,$B$2:$B$1132,0)),"")</f>
        <v>SQL, PYTHON, AWS, SPARK, ETL</v>
      </c>
      <c r="N749" t="s">
        <v>76</v>
      </c>
      <c r="O749" t="s">
        <v>78</v>
      </c>
    </row>
    <row r="750" spans="1:15" x14ac:dyDescent="0.25">
      <c r="A750">
        <v>18598</v>
      </c>
      <c r="B750" t="s">
        <v>15</v>
      </c>
      <c r="C750" t="s">
        <v>31</v>
      </c>
      <c r="D750" t="str">
        <f>IFERROR(INDEX(Sheet2!$B$2:$B$1132,MATCH(Sheet1!C750,Sheet1!$C$2:$C$1132,0)),"IDK")</f>
        <v>IT</v>
      </c>
      <c r="E750" t="s">
        <v>51</v>
      </c>
      <c r="F750" t="s">
        <v>52</v>
      </c>
      <c r="G750" s="1">
        <v>45339</v>
      </c>
      <c r="H750" t="s">
        <v>59</v>
      </c>
      <c r="I750" s="2" t="s">
        <v>168</v>
      </c>
      <c r="J750" s="2" t="s">
        <v>170</v>
      </c>
      <c r="K750">
        <f>IFERROR(INDEX(Sheet2!$C$2:$C$1132,MATCH(Sheet1!C750,Sheet1!$C$2:$C$1132,0)),"")</f>
        <v>25000</v>
      </c>
      <c r="L750">
        <f>IFERROR(INDEX(Sheet2!$D$2:$D$1132,MATCH(Sheet1!C750,$C$2:$C$1132,0)),"")</f>
        <v>75000</v>
      </c>
      <c r="M750" t="str">
        <f>IFERROR(INDEX($M$2:$M$1132,MATCH(B750,$B$2:$B$1132,0)),"")</f>
        <v>SQL, PYTHON, AWS, SPARK, ETL</v>
      </c>
      <c r="N750" t="s">
        <v>76</v>
      </c>
      <c r="O750" t="s">
        <v>78</v>
      </c>
    </row>
    <row r="751" spans="1:15" x14ac:dyDescent="0.25">
      <c r="A751">
        <v>18599</v>
      </c>
      <c r="B751" t="s">
        <v>15</v>
      </c>
      <c r="C751" t="s">
        <v>32</v>
      </c>
      <c r="D751" t="str">
        <f>IFERROR(INDEX(Sheet2!$B$2:$B$1132,MATCH(Sheet1!C751,Sheet1!$C$2:$C$1132,0)),"IDK")</f>
        <v>SOCIAL</v>
      </c>
      <c r="E751" t="s">
        <v>51</v>
      </c>
      <c r="F751" t="s">
        <v>52</v>
      </c>
      <c r="G751" s="1">
        <v>45467</v>
      </c>
      <c r="H751" t="s">
        <v>59</v>
      </c>
      <c r="I751" s="2" t="s">
        <v>168</v>
      </c>
      <c r="J751" s="2" t="s">
        <v>169</v>
      </c>
      <c r="K751">
        <f>IFERROR(INDEX(Sheet2!$C$2:$C$1132,MATCH(Sheet1!C751,Sheet1!$C$2:$C$1132,0)),"")</f>
        <v>20000</v>
      </c>
      <c r="L751">
        <f>IFERROR(INDEX(Sheet2!$D$2:$D$1132,MATCH(Sheet1!C751,$C$2:$C$1132,0)),"")</f>
        <v>70000</v>
      </c>
      <c r="M751" t="str">
        <f>IFERROR(INDEX($M$2:$M$1132,MATCH(B751,$B$2:$B$1132,0)),"")</f>
        <v>SQL, PYTHON, AWS, SPARK, ETL</v>
      </c>
      <c r="N751" t="s">
        <v>76</v>
      </c>
      <c r="O751" t="s">
        <v>78</v>
      </c>
    </row>
    <row r="752" spans="1:15" x14ac:dyDescent="0.25">
      <c r="A752">
        <v>18600</v>
      </c>
      <c r="B752" t="s">
        <v>15</v>
      </c>
      <c r="C752" t="s">
        <v>33</v>
      </c>
      <c r="D752" t="str">
        <f>IFERROR(INDEX(Sheet2!$B$2:$B$1132,MATCH(Sheet1!C752,Sheet1!$C$2:$C$1132,0)),"IDK")</f>
        <v>FINANCE</v>
      </c>
      <c r="E752" t="s">
        <v>51</v>
      </c>
      <c r="F752" t="s">
        <v>52</v>
      </c>
      <c r="G752" s="1">
        <v>45362</v>
      </c>
      <c r="H752" t="s">
        <v>59</v>
      </c>
      <c r="I752" s="2" t="s">
        <v>168</v>
      </c>
      <c r="J752" s="2" t="s">
        <v>170</v>
      </c>
      <c r="K752">
        <f>IFERROR(INDEX(Sheet2!$C$2:$C$1132,MATCH(Sheet1!C752,Sheet1!$C$2:$C$1132,0)),"")</f>
        <v>40000</v>
      </c>
      <c r="L752">
        <f>IFERROR(INDEX(Sheet2!$D$2:$D$1132,MATCH(Sheet1!C752,$C$2:$C$1132,0)),"")</f>
        <v>85000</v>
      </c>
      <c r="M752" t="str">
        <f>IFERROR(INDEX($M$2:$M$1132,MATCH(B752,$B$2:$B$1132,0)),"")</f>
        <v>SQL, PYTHON, AWS, SPARK, ETL</v>
      </c>
      <c r="N752" t="s">
        <v>76</v>
      </c>
      <c r="O752" t="s">
        <v>78</v>
      </c>
    </row>
    <row r="753" spans="1:15" x14ac:dyDescent="0.25">
      <c r="A753">
        <v>18601</v>
      </c>
      <c r="B753" t="s">
        <v>15</v>
      </c>
      <c r="C753" t="s">
        <v>34</v>
      </c>
      <c r="D753" t="str">
        <f>IFERROR(INDEX(Sheet2!$B$2:$B$1132,MATCH(Sheet1!C753,Sheet1!$C$2:$C$1132,0)),"IDK")</f>
        <v>IT</v>
      </c>
      <c r="E753" t="s">
        <v>51</v>
      </c>
      <c r="F753" t="s">
        <v>52</v>
      </c>
      <c r="G753" s="1">
        <v>45497</v>
      </c>
      <c r="H753" t="s">
        <v>59</v>
      </c>
      <c r="I753" s="2" t="s">
        <v>171</v>
      </c>
      <c r="J753" s="2" t="s">
        <v>172</v>
      </c>
      <c r="K753">
        <f>IFERROR(INDEX(Sheet2!$C$2:$C$1132,MATCH(Sheet1!C753,Sheet1!$C$2:$C$1132,0)),"")</f>
        <v>35000</v>
      </c>
      <c r="L753">
        <f>IFERROR(INDEX(Sheet2!$D$2:$D$1132,MATCH(Sheet1!C753,$C$2:$C$1132,0)),"")</f>
        <v>90000</v>
      </c>
      <c r="M753" t="str">
        <f>IFERROR(INDEX($M$2:$M$1132,MATCH(B753,$B$2:$B$1132,0)),"")</f>
        <v>SQL, PYTHON, AWS, SPARK, ETL</v>
      </c>
      <c r="N753" t="s">
        <v>76</v>
      </c>
      <c r="O753" t="s">
        <v>78</v>
      </c>
    </row>
    <row r="754" spans="1:15" x14ac:dyDescent="0.25">
      <c r="A754">
        <v>18602</v>
      </c>
      <c r="B754" t="s">
        <v>15</v>
      </c>
      <c r="C754" t="s">
        <v>35</v>
      </c>
      <c r="D754" t="str">
        <f>IFERROR(INDEX(Sheet2!$B$2:$B$1132,MATCH(Sheet1!C754,Sheet1!$C$2:$C$1132,0)),"IDK")</f>
        <v>SOCIAL</v>
      </c>
      <c r="E754" t="s">
        <v>51</v>
      </c>
      <c r="F754" t="s">
        <v>52</v>
      </c>
      <c r="G754" s="1">
        <v>45581</v>
      </c>
      <c r="H754" t="s">
        <v>59</v>
      </c>
      <c r="I754" s="2" t="s">
        <v>166</v>
      </c>
      <c r="J754" s="2" t="s">
        <v>167</v>
      </c>
      <c r="K754">
        <f>IFERROR(INDEX(Sheet2!$C$2:$C$1132,MATCH(Sheet1!C754,Sheet1!$C$2:$C$1132,0)),"")</f>
        <v>30000</v>
      </c>
      <c r="L754">
        <f>IFERROR(INDEX(Sheet2!$D$2:$D$1132,MATCH(Sheet1!C754,$C$2:$C$1132,0)),"")</f>
        <v>95000</v>
      </c>
      <c r="M754" t="str">
        <f>IFERROR(INDEX($M$2:$M$1132,MATCH(B754,$B$2:$B$1132,0)),"")</f>
        <v>SQL, PYTHON, AWS, SPARK, ETL</v>
      </c>
      <c r="N754" t="s">
        <v>74</v>
      </c>
      <c r="O754" t="s">
        <v>78</v>
      </c>
    </row>
    <row r="755" spans="1:15" x14ac:dyDescent="0.25">
      <c r="A755">
        <v>18603</v>
      </c>
      <c r="B755" t="s">
        <v>15</v>
      </c>
      <c r="C755" t="s">
        <v>36</v>
      </c>
      <c r="D755" t="str">
        <f>IFERROR(INDEX(Sheet2!$B$2:$B$1132,MATCH(Sheet1!C755,Sheet1!$C$2:$C$1132,0)),"IDK")</f>
        <v>IT</v>
      </c>
      <c r="E755" t="s">
        <v>51</v>
      </c>
      <c r="F755" t="s">
        <v>52</v>
      </c>
      <c r="G755" s="1">
        <v>45559</v>
      </c>
      <c r="H755" t="s">
        <v>59</v>
      </c>
      <c r="I755" s="2" t="s">
        <v>168</v>
      </c>
      <c r="J755" s="2" t="s">
        <v>169</v>
      </c>
      <c r="K755">
        <f>IFERROR(INDEX(Sheet2!$C$2:$C$1132,MATCH(Sheet1!C755,Sheet1!$C$2:$C$1132,0)),"")</f>
        <v>50000</v>
      </c>
      <c r="L755">
        <f>IFERROR(INDEX(Sheet2!$D$2:$D$1132,MATCH(Sheet1!C755,$C$2:$C$1132,0)),"")</f>
        <v>100000</v>
      </c>
      <c r="M755" t="str">
        <f>IFERROR(INDEX($M$2:$M$1132,MATCH(B755,$B$2:$B$1132,0)),"")</f>
        <v>SQL, PYTHON, AWS, SPARK, ETL</v>
      </c>
      <c r="N755" t="s">
        <v>74</v>
      </c>
      <c r="O755" t="s">
        <v>78</v>
      </c>
    </row>
    <row r="756" spans="1:15" x14ac:dyDescent="0.25">
      <c r="A756">
        <v>18604</v>
      </c>
      <c r="B756" t="s">
        <v>15</v>
      </c>
      <c r="C756" t="s">
        <v>27</v>
      </c>
      <c r="D756" t="str">
        <f>IFERROR(INDEX(Sheet2!$B$2:$B$1132,MATCH(Sheet1!C756,Sheet1!$C$2:$C$1132,0)),"IDK")</f>
        <v>IT</v>
      </c>
      <c r="E756" t="s">
        <v>51</v>
      </c>
      <c r="F756" t="s">
        <v>52</v>
      </c>
      <c r="G756" s="1">
        <v>45604</v>
      </c>
      <c r="H756" t="s">
        <v>59</v>
      </c>
      <c r="I756" s="2" t="s">
        <v>168</v>
      </c>
      <c r="J756" s="2" t="s">
        <v>170</v>
      </c>
      <c r="K756">
        <f>IFERROR(INDEX(Sheet2!$C$2:$C$1132,MATCH(Sheet1!C756,Sheet1!$C$2:$C$1132,0)),"")</f>
        <v>40000</v>
      </c>
      <c r="L756">
        <f>IFERROR(INDEX(Sheet2!$D$2:$D$1132,MATCH(Sheet1!C756,$C$2:$C$1132,0)),"")</f>
        <v>80000</v>
      </c>
      <c r="M756" t="str">
        <f>IFERROR(INDEX($M$2:$M$1132,MATCH(B756,$B$2:$B$1132,0)),"")</f>
        <v>SQL, PYTHON, AWS, SPARK, ETL</v>
      </c>
      <c r="N756" t="s">
        <v>74</v>
      </c>
      <c r="O756" t="s">
        <v>78</v>
      </c>
    </row>
    <row r="757" spans="1:15" x14ac:dyDescent="0.25">
      <c r="A757">
        <v>18605</v>
      </c>
      <c r="B757" t="s">
        <v>15</v>
      </c>
      <c r="C757" t="s">
        <v>28</v>
      </c>
      <c r="D757" t="str">
        <f>IFERROR(INDEX(Sheet2!$B$2:$B$1132,MATCH(Sheet1!C757,Sheet1!$C$2:$C$1132,0)),"IDK")</f>
        <v>IT</v>
      </c>
      <c r="E757" t="s">
        <v>51</v>
      </c>
      <c r="F757" t="s">
        <v>52</v>
      </c>
      <c r="G757" s="1">
        <v>45414</v>
      </c>
      <c r="H757" t="s">
        <v>59</v>
      </c>
      <c r="I757" s="2" t="s">
        <v>171</v>
      </c>
      <c r="J757" s="2" t="s">
        <v>172</v>
      </c>
      <c r="K757">
        <f>IFERROR(INDEX(Sheet2!$C$2:$C$1132,MATCH(Sheet1!C757,Sheet1!$C$2:$C$1132,0)),"")</f>
        <v>30000</v>
      </c>
      <c r="L757">
        <f>IFERROR(INDEX(Sheet2!$D$2:$D$1132,MATCH(Sheet1!C757,$C$2:$C$1132,0)),"")</f>
        <v>55000</v>
      </c>
      <c r="M757" t="str">
        <f>IFERROR(INDEX($M$2:$M$1132,MATCH(B757,$B$2:$B$1132,0)),"")</f>
        <v>SQL, PYTHON, AWS, SPARK, ETL</v>
      </c>
      <c r="N757" t="s">
        <v>74</v>
      </c>
      <c r="O757" t="s">
        <v>78</v>
      </c>
    </row>
    <row r="758" spans="1:15" x14ac:dyDescent="0.25">
      <c r="A758">
        <v>18606</v>
      </c>
      <c r="B758" t="s">
        <v>15</v>
      </c>
      <c r="C758" t="s">
        <v>29</v>
      </c>
      <c r="D758" t="str">
        <f>IFERROR(INDEX(Sheet2!$B$2:$B$1132,MATCH(Sheet1!C758,Sheet1!$C$2:$C$1132,0)),"IDK")</f>
        <v>IT</v>
      </c>
      <c r="E758" t="s">
        <v>51</v>
      </c>
      <c r="F758" t="s">
        <v>52</v>
      </c>
      <c r="G758" s="1">
        <v>45410</v>
      </c>
      <c r="H758" t="s">
        <v>59</v>
      </c>
      <c r="I758" s="2" t="s">
        <v>161</v>
      </c>
      <c r="J758" s="2" t="s">
        <v>162</v>
      </c>
      <c r="K758">
        <f>IFERROR(INDEX(Sheet2!$C$2:$C$1132,MATCH(Sheet1!C758,Sheet1!$C$2:$C$1132,0)),"")</f>
        <v>35000</v>
      </c>
      <c r="L758">
        <f>IFERROR(INDEX(Sheet2!$D$2:$D$1132,MATCH(Sheet1!C758,$C$2:$C$1132,0)),"")</f>
        <v>70000</v>
      </c>
      <c r="M758" t="str">
        <f>IFERROR(INDEX($M$2:$M$1132,MATCH(B758,$B$2:$B$1132,0)),"")</f>
        <v>SQL, PYTHON, AWS, SPARK, ETL</v>
      </c>
      <c r="N758" t="s">
        <v>74</v>
      </c>
      <c r="O758" t="s">
        <v>77</v>
      </c>
    </row>
    <row r="759" spans="1:15" x14ac:dyDescent="0.25">
      <c r="A759">
        <v>18607</v>
      </c>
      <c r="B759" t="s">
        <v>15</v>
      </c>
      <c r="C759" t="s">
        <v>23</v>
      </c>
      <c r="D759" t="str">
        <f>IFERROR(INDEX(Sheet2!$B$2:$B$1132,MATCH(Sheet1!C759,Sheet1!$C$2:$C$1132,0)),"IDK")</f>
        <v>IT</v>
      </c>
      <c r="E759" t="s">
        <v>51</v>
      </c>
      <c r="F759" t="s">
        <v>52</v>
      </c>
      <c r="G759" s="1">
        <v>45354</v>
      </c>
      <c r="H759" t="s">
        <v>59</v>
      </c>
      <c r="I759" s="2" t="s">
        <v>166</v>
      </c>
      <c r="J759" s="2" t="s">
        <v>167</v>
      </c>
      <c r="K759">
        <f>IFERROR(INDEX(Sheet2!$C$2:$C$1132,MATCH(Sheet1!C759,Sheet1!$C$2:$C$1132,0)),"")</f>
        <v>35000</v>
      </c>
      <c r="L759">
        <f>IFERROR(INDEX(Sheet2!$D$2:$D$1132,MATCH(Sheet1!C759,$C$2:$C$1132,0)),"")</f>
        <v>70000</v>
      </c>
      <c r="M759" t="str">
        <f>IFERROR(INDEX($M$2:$M$1132,MATCH(B759,$B$2:$B$1132,0)),"")</f>
        <v>SQL, PYTHON, AWS, SPARK, ETL</v>
      </c>
      <c r="N759" t="s">
        <v>74</v>
      </c>
      <c r="O759" t="s">
        <v>77</v>
      </c>
    </row>
    <row r="760" spans="1:15" x14ac:dyDescent="0.25">
      <c r="A760">
        <v>18608</v>
      </c>
      <c r="B760" t="s">
        <v>16</v>
      </c>
      <c r="C760" t="s">
        <v>30</v>
      </c>
      <c r="D760" t="str">
        <f>IFERROR(INDEX(Sheet2!$B$2:$B$1132,MATCH(Sheet1!C760,Sheet1!$C$2:$C$1132,0)),"IDK")</f>
        <v>IT</v>
      </c>
      <c r="E760" t="s">
        <v>51</v>
      </c>
      <c r="F760" t="s">
        <v>52</v>
      </c>
      <c r="G760" s="1">
        <v>45624</v>
      </c>
      <c r="H760" t="s">
        <v>59</v>
      </c>
      <c r="I760" s="2" t="s">
        <v>168</v>
      </c>
      <c r="J760" s="2" t="s">
        <v>169</v>
      </c>
      <c r="K760">
        <f>IFERROR(INDEX(Sheet2!$C$2:$C$1132,MATCH(Sheet1!C760,Sheet1!$C$2:$C$1132,0)),"")</f>
        <v>25000</v>
      </c>
      <c r="L760">
        <f>IFERROR(INDEX(Sheet2!$D$2:$D$1132,MATCH(Sheet1!C760,$C$2:$C$1132,0)),"")</f>
        <v>60000</v>
      </c>
      <c r="M760" t="str">
        <f>IFERROR(INDEX($M$2:$M$1132,MATCH(B760,$B$2:$B$1132,0)),"")</f>
        <v>PYTHON, MACHINE LEARNING,PANDAS, NUMPY</v>
      </c>
      <c r="N760" t="s">
        <v>74</v>
      </c>
      <c r="O760" t="s">
        <v>77</v>
      </c>
    </row>
    <row r="761" spans="1:15" x14ac:dyDescent="0.25">
      <c r="A761">
        <v>18609</v>
      </c>
      <c r="B761" t="s">
        <v>16</v>
      </c>
      <c r="C761" t="s">
        <v>31</v>
      </c>
      <c r="D761" t="str">
        <f>IFERROR(INDEX(Sheet2!$B$2:$B$1132,MATCH(Sheet1!C761,Sheet1!$C$2:$C$1132,0)),"IDK")</f>
        <v>IT</v>
      </c>
      <c r="E761" t="s">
        <v>51</v>
      </c>
      <c r="F761" t="s">
        <v>52</v>
      </c>
      <c r="G761" s="1">
        <v>45360</v>
      </c>
      <c r="H761" t="s">
        <v>59</v>
      </c>
      <c r="I761" s="2" t="s">
        <v>161</v>
      </c>
      <c r="J761" s="2" t="s">
        <v>162</v>
      </c>
      <c r="K761">
        <f>IFERROR(INDEX(Sheet2!$C$2:$C$1132,MATCH(Sheet1!C761,Sheet1!$C$2:$C$1132,0)),"")</f>
        <v>25000</v>
      </c>
      <c r="L761">
        <f>IFERROR(INDEX(Sheet2!$D$2:$D$1132,MATCH(Sheet1!C761,$C$2:$C$1132,0)),"")</f>
        <v>75000</v>
      </c>
      <c r="M761" t="str">
        <f>IFERROR(INDEX($M$2:$M$1132,MATCH(B761,$B$2:$B$1132,0)),"")</f>
        <v>PYTHON, MACHINE LEARNING,PANDAS, NUMPY</v>
      </c>
      <c r="N761" t="s">
        <v>74</v>
      </c>
      <c r="O761" t="s">
        <v>77</v>
      </c>
    </row>
    <row r="762" spans="1:15" x14ac:dyDescent="0.25">
      <c r="A762">
        <v>18610</v>
      </c>
      <c r="B762" t="s">
        <v>16</v>
      </c>
      <c r="C762" t="s">
        <v>32</v>
      </c>
      <c r="D762" t="str">
        <f>IFERROR(INDEX(Sheet2!$B$2:$B$1132,MATCH(Sheet1!C762,Sheet1!$C$2:$C$1132,0)),"IDK")</f>
        <v>SOCIAL</v>
      </c>
      <c r="E762" t="s">
        <v>51</v>
      </c>
      <c r="F762" t="s">
        <v>52</v>
      </c>
      <c r="G762" s="1">
        <v>45556</v>
      </c>
      <c r="H762" t="s">
        <v>59</v>
      </c>
      <c r="I762" s="2" t="s">
        <v>161</v>
      </c>
      <c r="J762" s="2" t="s">
        <v>163</v>
      </c>
      <c r="K762">
        <f>IFERROR(INDEX(Sheet2!$C$2:$C$1132,MATCH(Sheet1!C762,Sheet1!$C$2:$C$1132,0)),"")</f>
        <v>20000</v>
      </c>
      <c r="L762">
        <f>IFERROR(INDEX(Sheet2!$D$2:$D$1132,MATCH(Sheet1!C762,$C$2:$C$1132,0)),"")</f>
        <v>70000</v>
      </c>
      <c r="M762" t="str">
        <f>IFERROR(INDEX($M$2:$M$1132,MATCH(B762,$B$2:$B$1132,0)),"")</f>
        <v>PYTHON, MACHINE LEARNING,PANDAS, NUMPY</v>
      </c>
      <c r="N762" t="s">
        <v>74</v>
      </c>
      <c r="O762" t="s">
        <v>77</v>
      </c>
    </row>
    <row r="763" spans="1:15" x14ac:dyDescent="0.25">
      <c r="A763">
        <v>18611</v>
      </c>
      <c r="B763" t="s">
        <v>16</v>
      </c>
      <c r="C763" t="s">
        <v>33</v>
      </c>
      <c r="D763" t="str">
        <f>IFERROR(INDEX(Sheet2!$B$2:$B$1132,MATCH(Sheet1!C763,Sheet1!$C$2:$C$1132,0)),"IDK")</f>
        <v>FINANCE</v>
      </c>
      <c r="E763" t="s">
        <v>51</v>
      </c>
      <c r="F763" t="s">
        <v>52</v>
      </c>
      <c r="G763" s="1">
        <v>45599</v>
      </c>
      <c r="H763" t="s">
        <v>56</v>
      </c>
      <c r="I763" s="2" t="s">
        <v>109</v>
      </c>
      <c r="J763" s="2" t="s">
        <v>110</v>
      </c>
      <c r="K763">
        <f>IFERROR(INDEX(Sheet2!$C$2:$C$1132,MATCH(Sheet1!C763,Sheet1!$C$2:$C$1132,0)),"")</f>
        <v>40000</v>
      </c>
      <c r="L763">
        <f>IFERROR(INDEX(Sheet2!$D$2:$D$1132,MATCH(Sheet1!C763,$C$2:$C$1132,0)),"")</f>
        <v>85000</v>
      </c>
      <c r="M763" t="str">
        <f>IFERROR(INDEX($M$2:$M$1132,MATCH(B763,$B$2:$B$1132,0)),"")</f>
        <v>PYTHON, MACHINE LEARNING,PANDAS, NUMPY</v>
      </c>
      <c r="N763" t="s">
        <v>75</v>
      </c>
      <c r="O763" t="s">
        <v>77</v>
      </c>
    </row>
    <row r="764" spans="1:15" x14ac:dyDescent="0.25">
      <c r="A764">
        <v>18612</v>
      </c>
      <c r="B764" t="s">
        <v>16</v>
      </c>
      <c r="C764" t="s">
        <v>23</v>
      </c>
      <c r="D764" t="str">
        <f>IFERROR(INDEX(Sheet2!$B$2:$B$1132,MATCH(Sheet1!C764,Sheet1!$C$2:$C$1132,0)),"IDK")</f>
        <v>IT</v>
      </c>
      <c r="E764" t="s">
        <v>51</v>
      </c>
      <c r="F764" t="s">
        <v>52</v>
      </c>
      <c r="G764" s="1">
        <v>45433</v>
      </c>
      <c r="H764" t="s">
        <v>56</v>
      </c>
      <c r="I764" s="2" t="s">
        <v>109</v>
      </c>
      <c r="J764" s="2" t="s">
        <v>111</v>
      </c>
      <c r="K764">
        <f>IFERROR(INDEX(Sheet2!$C$2:$C$1132,MATCH(Sheet1!C764,Sheet1!$C$2:$C$1132,0)),"")</f>
        <v>35000</v>
      </c>
      <c r="L764">
        <f>IFERROR(INDEX(Sheet2!$D$2:$D$1132,MATCH(Sheet1!C764,$C$2:$C$1132,0)),"")</f>
        <v>70000</v>
      </c>
      <c r="M764" t="str">
        <f>IFERROR(INDEX($M$2:$M$1132,MATCH(B764,$B$2:$B$1132,0)),"")</f>
        <v>PYTHON, MACHINE LEARNING,PANDAS, NUMPY</v>
      </c>
      <c r="N764" t="s">
        <v>75</v>
      </c>
      <c r="O764" t="s">
        <v>77</v>
      </c>
    </row>
    <row r="765" spans="1:15" x14ac:dyDescent="0.25">
      <c r="A765">
        <v>18613</v>
      </c>
      <c r="B765" t="s">
        <v>16</v>
      </c>
      <c r="C765" t="s">
        <v>24</v>
      </c>
      <c r="D765" t="str">
        <f>IFERROR(INDEX(Sheet2!$B$2:$B$1132,MATCH(Sheet1!C765,Sheet1!$C$2:$C$1132,0)),"IDK")</f>
        <v>HEALTH</v>
      </c>
      <c r="E765" t="s">
        <v>51</v>
      </c>
      <c r="F765" t="s">
        <v>52</v>
      </c>
      <c r="G765" s="1">
        <v>45560</v>
      </c>
      <c r="H765" t="s">
        <v>56</v>
      </c>
      <c r="I765" s="2" t="s">
        <v>112</v>
      </c>
      <c r="J765" s="2" t="s">
        <v>113</v>
      </c>
      <c r="K765">
        <f>IFERROR(INDEX(Sheet2!$C$2:$C$1132,MATCH(Sheet1!C765,Sheet1!$C$2:$C$1132,0)),"")</f>
        <v>25000</v>
      </c>
      <c r="L765">
        <f>IFERROR(INDEX(Sheet2!$D$2:$D$1132,MATCH(Sheet1!C765,$C$2:$C$1132,0)),"")</f>
        <v>50000</v>
      </c>
      <c r="M765" t="str">
        <f>IFERROR(INDEX($M$2:$M$1132,MATCH(B765,$B$2:$B$1132,0)),"")</f>
        <v>PYTHON, MACHINE LEARNING,PANDAS, NUMPY</v>
      </c>
      <c r="N765" t="s">
        <v>75</v>
      </c>
      <c r="O765" t="s">
        <v>77</v>
      </c>
    </row>
    <row r="766" spans="1:15" x14ac:dyDescent="0.25">
      <c r="A766">
        <v>18614</v>
      </c>
      <c r="B766" t="s">
        <v>16</v>
      </c>
      <c r="C766" t="s">
        <v>25</v>
      </c>
      <c r="D766" t="str">
        <f>IFERROR(INDEX(Sheet2!$B$2:$B$1132,MATCH(Sheet1!C766,Sheet1!$C$2:$C$1132,0)),"IDK")</f>
        <v>SOCIAL</v>
      </c>
      <c r="E766" t="s">
        <v>51</v>
      </c>
      <c r="F766" t="s">
        <v>52</v>
      </c>
      <c r="G766" s="1">
        <v>45594</v>
      </c>
      <c r="H766" t="s">
        <v>56</v>
      </c>
      <c r="I766" s="2" t="s">
        <v>114</v>
      </c>
      <c r="J766" s="2" t="s">
        <v>115</v>
      </c>
      <c r="K766">
        <f>IFERROR(INDEX(Sheet2!$C$2:$C$1132,MATCH(Sheet1!C766,Sheet1!$C$2:$C$1132,0)),"")</f>
        <v>30000</v>
      </c>
      <c r="L766">
        <f>IFERROR(INDEX(Sheet2!$D$2:$D$1132,MATCH(Sheet1!C766,$C$2:$C$1132,0)),"")</f>
        <v>60000</v>
      </c>
      <c r="M766" t="str">
        <f>IFERROR(INDEX($M$2:$M$1132,MATCH(B766,$B$2:$B$1132,0)),"")</f>
        <v>PYTHON, MACHINE LEARNING,PANDAS, NUMPY</v>
      </c>
      <c r="N766" t="s">
        <v>75</v>
      </c>
      <c r="O766" t="s">
        <v>77</v>
      </c>
    </row>
    <row r="767" spans="1:15" x14ac:dyDescent="0.25">
      <c r="A767">
        <v>18615</v>
      </c>
      <c r="B767" t="s">
        <v>16</v>
      </c>
      <c r="C767" t="s">
        <v>26</v>
      </c>
      <c r="D767" t="str">
        <f>IFERROR(INDEX(Sheet2!$B$2:$B$1132,MATCH(Sheet1!C767,Sheet1!$C$2:$C$1132,0)),"IDK")</f>
        <v>FINANCE</v>
      </c>
      <c r="E767" t="s">
        <v>51</v>
      </c>
      <c r="F767" t="s">
        <v>52</v>
      </c>
      <c r="G767" s="1">
        <v>45591</v>
      </c>
      <c r="H767" t="s">
        <v>56</v>
      </c>
      <c r="I767" s="2" t="s">
        <v>116</v>
      </c>
      <c r="J767" s="2" t="s">
        <v>117</v>
      </c>
      <c r="K767">
        <f>IFERROR(INDEX(Sheet2!$C$2:$C$1132,MATCH(Sheet1!C767,Sheet1!$C$2:$C$1132,0)),"")</f>
        <v>35000</v>
      </c>
      <c r="L767">
        <f>IFERROR(INDEX(Sheet2!$D$2:$D$1132,MATCH(Sheet1!C767,$C$2:$C$1132,0)),"")</f>
        <v>75000</v>
      </c>
      <c r="M767" t="str">
        <f>IFERROR(INDEX($M$2:$M$1132,MATCH(B767,$B$2:$B$1132,0)),"")</f>
        <v>PYTHON, MACHINE LEARNING,PANDAS, NUMPY</v>
      </c>
      <c r="N767" t="s">
        <v>75</v>
      </c>
      <c r="O767" t="s">
        <v>77</v>
      </c>
    </row>
    <row r="768" spans="1:15" x14ac:dyDescent="0.25">
      <c r="A768">
        <v>18616</v>
      </c>
      <c r="B768" t="s">
        <v>16</v>
      </c>
      <c r="C768" t="s">
        <v>37</v>
      </c>
      <c r="D768" t="s">
        <v>43</v>
      </c>
      <c r="E768" t="s">
        <v>51</v>
      </c>
      <c r="F768" t="s">
        <v>52</v>
      </c>
      <c r="G768" s="1">
        <v>45408</v>
      </c>
      <c r="H768" t="s">
        <v>56</v>
      </c>
      <c r="I768" s="2" t="s">
        <v>118</v>
      </c>
      <c r="J768" s="2" t="s">
        <v>119</v>
      </c>
      <c r="K768">
        <v>45000</v>
      </c>
      <c r="L768">
        <v>90000</v>
      </c>
      <c r="M768" t="str">
        <f>IFERROR(INDEX($M$2:$M$1132,MATCH(B768,$B$2:$B$1132,0)),"")</f>
        <v>PYTHON, MACHINE LEARNING,PANDAS, NUMPY</v>
      </c>
      <c r="N768" t="s">
        <v>75</v>
      </c>
      <c r="O768" t="s">
        <v>77</v>
      </c>
    </row>
    <row r="769" spans="1:15" x14ac:dyDescent="0.25">
      <c r="A769">
        <v>18617</v>
      </c>
      <c r="B769" t="s">
        <v>16</v>
      </c>
      <c r="C769" t="s">
        <v>38</v>
      </c>
      <c r="D769" t="s">
        <v>42</v>
      </c>
      <c r="E769" t="s">
        <v>51</v>
      </c>
      <c r="F769" t="s">
        <v>52</v>
      </c>
      <c r="G769" s="1">
        <v>45309</v>
      </c>
      <c r="H769" t="s">
        <v>56</v>
      </c>
      <c r="I769" s="2" t="s">
        <v>118</v>
      </c>
      <c r="J769" s="2" t="s">
        <v>120</v>
      </c>
      <c r="K769">
        <v>20000</v>
      </c>
      <c r="L769">
        <v>80000</v>
      </c>
      <c r="M769" t="str">
        <f>IFERROR(INDEX($M$2:$M$1132,MATCH(B769,$B$2:$B$1132,0)),"")</f>
        <v>PYTHON, MACHINE LEARNING,PANDAS, NUMPY</v>
      </c>
      <c r="N769" t="s">
        <v>75</v>
      </c>
      <c r="O769" t="s">
        <v>77</v>
      </c>
    </row>
    <row r="770" spans="1:15" x14ac:dyDescent="0.25">
      <c r="A770">
        <v>18618</v>
      </c>
      <c r="B770" t="s">
        <v>16</v>
      </c>
      <c r="C770" t="s">
        <v>39</v>
      </c>
      <c r="D770" t="s">
        <v>42</v>
      </c>
      <c r="E770" t="s">
        <v>51</v>
      </c>
      <c r="F770" t="s">
        <v>52</v>
      </c>
      <c r="G770" s="1">
        <v>45584</v>
      </c>
      <c r="H770" t="s">
        <v>56</v>
      </c>
      <c r="I770" s="2" t="s">
        <v>121</v>
      </c>
      <c r="J770" s="2" t="s">
        <v>122</v>
      </c>
      <c r="K770">
        <v>25000</v>
      </c>
      <c r="L770">
        <v>85000</v>
      </c>
      <c r="M770" t="str">
        <f>IFERROR(INDEX($M$2:$M$1132,MATCH(B770,$B$2:$B$1132,0)),"")</f>
        <v>PYTHON, MACHINE LEARNING,PANDAS, NUMPY</v>
      </c>
      <c r="N770" t="s">
        <v>75</v>
      </c>
      <c r="O770" t="s">
        <v>77</v>
      </c>
    </row>
    <row r="771" spans="1:15" x14ac:dyDescent="0.25">
      <c r="A771">
        <v>18619</v>
      </c>
      <c r="B771" t="s">
        <v>16</v>
      </c>
      <c r="C771" t="s">
        <v>23</v>
      </c>
      <c r="D771" t="str">
        <f>IFERROR(INDEX(Sheet2!$B$2:$B$1132,MATCH(Sheet1!C771,Sheet1!$C$2:$C$1132,0)),"IDK")</f>
        <v>IT</v>
      </c>
      <c r="E771" t="s">
        <v>51</v>
      </c>
      <c r="F771" t="s">
        <v>52</v>
      </c>
      <c r="G771" s="1">
        <v>45516</v>
      </c>
      <c r="H771" t="s">
        <v>56</v>
      </c>
      <c r="I771" s="2" t="s">
        <v>123</v>
      </c>
      <c r="J771" s="2" t="s">
        <v>124</v>
      </c>
      <c r="K771">
        <f>IFERROR(INDEX(Sheet2!$C$2:$C$1132,MATCH(Sheet1!C771,Sheet1!$C$2:$C$1132,0)),"")</f>
        <v>35000</v>
      </c>
      <c r="L771">
        <f>IFERROR(INDEX(Sheet2!$D$2:$D$1132,MATCH(Sheet1!C771,$C$2:$C$1132,0)),"")</f>
        <v>70000</v>
      </c>
      <c r="M771" t="str">
        <f>IFERROR(INDEX($M$2:$M$1132,MATCH(B771,$B$2:$B$1132,0)),"")</f>
        <v>PYTHON, MACHINE LEARNING,PANDAS, NUMPY</v>
      </c>
      <c r="N771" t="s">
        <v>75</v>
      </c>
      <c r="O771" t="s">
        <v>77</v>
      </c>
    </row>
    <row r="772" spans="1:15" x14ac:dyDescent="0.25">
      <c r="A772">
        <v>18620</v>
      </c>
      <c r="B772" t="s">
        <v>16</v>
      </c>
      <c r="C772" t="s">
        <v>30</v>
      </c>
      <c r="D772" t="str">
        <f>IFERROR(INDEX(Sheet2!$B$2:$B$1132,MATCH(Sheet1!C772,Sheet1!$C$2:$C$1132,0)),"IDK")</f>
        <v>IT</v>
      </c>
      <c r="E772" t="s">
        <v>51</v>
      </c>
      <c r="F772" t="s">
        <v>52</v>
      </c>
      <c r="G772" s="1">
        <v>45311</v>
      </c>
      <c r="H772" t="s">
        <v>56</v>
      </c>
      <c r="I772" s="2" t="s">
        <v>125</v>
      </c>
      <c r="J772" s="2" t="s">
        <v>126</v>
      </c>
      <c r="K772">
        <f>IFERROR(INDEX(Sheet2!$C$2:$C$1132,MATCH(Sheet1!C772,Sheet1!$C$2:$C$1132,0)),"")</f>
        <v>25000</v>
      </c>
      <c r="L772">
        <f>IFERROR(INDEX(Sheet2!$D$2:$D$1132,MATCH(Sheet1!C772,$C$2:$C$1132,0)),"")</f>
        <v>60000</v>
      </c>
      <c r="M772" t="str">
        <f>IFERROR(INDEX($M$2:$M$1132,MATCH(B772,$B$2:$B$1132,0)),"")</f>
        <v>PYTHON, MACHINE LEARNING,PANDAS, NUMPY</v>
      </c>
      <c r="N772" t="s">
        <v>76</v>
      </c>
      <c r="O772" t="s">
        <v>77</v>
      </c>
    </row>
    <row r="773" spans="1:15" x14ac:dyDescent="0.25">
      <c r="A773">
        <v>18621</v>
      </c>
      <c r="B773" t="s">
        <v>16</v>
      </c>
      <c r="C773" t="s">
        <v>31</v>
      </c>
      <c r="D773" t="str">
        <f>IFERROR(INDEX(Sheet2!$B$2:$B$1132,MATCH(Sheet1!C773,Sheet1!$C$2:$C$1132,0)),"IDK")</f>
        <v>IT</v>
      </c>
      <c r="E773" t="s">
        <v>51</v>
      </c>
      <c r="F773" t="s">
        <v>52</v>
      </c>
      <c r="G773" s="1">
        <v>45330</v>
      </c>
      <c r="H773" t="s">
        <v>56</v>
      </c>
      <c r="I773" s="2" t="s">
        <v>127</v>
      </c>
      <c r="J773" s="2" t="s">
        <v>128</v>
      </c>
      <c r="K773">
        <f>IFERROR(INDEX(Sheet2!$C$2:$C$1132,MATCH(Sheet1!C773,Sheet1!$C$2:$C$1132,0)),"")</f>
        <v>25000</v>
      </c>
      <c r="L773">
        <f>IFERROR(INDEX(Sheet2!$D$2:$D$1132,MATCH(Sheet1!C773,$C$2:$C$1132,0)),"")</f>
        <v>75000</v>
      </c>
      <c r="M773" t="str">
        <f>IFERROR(INDEX($M$2:$M$1132,MATCH(B773,$B$2:$B$1132,0)),"")</f>
        <v>PYTHON, MACHINE LEARNING,PANDAS, NUMPY</v>
      </c>
      <c r="N773" t="s">
        <v>76</v>
      </c>
      <c r="O773" t="s">
        <v>77</v>
      </c>
    </row>
    <row r="774" spans="1:15" x14ac:dyDescent="0.25">
      <c r="A774">
        <v>18622</v>
      </c>
      <c r="B774" t="s">
        <v>16</v>
      </c>
      <c r="C774" t="s">
        <v>32</v>
      </c>
      <c r="D774" t="str">
        <f>IFERROR(INDEX(Sheet2!$B$2:$B$1132,MATCH(Sheet1!C774,Sheet1!$C$2:$C$1132,0)),"IDK")</f>
        <v>SOCIAL</v>
      </c>
      <c r="E774" t="s">
        <v>51</v>
      </c>
      <c r="F774" t="s">
        <v>52</v>
      </c>
      <c r="G774" s="1">
        <v>45647</v>
      </c>
      <c r="H774" t="s">
        <v>56</v>
      </c>
      <c r="I774" s="2" t="s">
        <v>106</v>
      </c>
      <c r="J774" s="2" t="s">
        <v>107</v>
      </c>
      <c r="K774">
        <f>IFERROR(INDEX(Sheet2!$C$2:$C$1132,MATCH(Sheet1!C774,Sheet1!$C$2:$C$1132,0)),"")</f>
        <v>20000</v>
      </c>
      <c r="L774">
        <f>IFERROR(INDEX(Sheet2!$D$2:$D$1132,MATCH(Sheet1!C774,$C$2:$C$1132,0)),"")</f>
        <v>70000</v>
      </c>
      <c r="M774" t="str">
        <f>IFERROR(INDEX($M$2:$M$1132,MATCH(B774,$B$2:$B$1132,0)),"")</f>
        <v>PYTHON, MACHINE LEARNING,PANDAS, NUMPY</v>
      </c>
      <c r="N774" t="s">
        <v>76</v>
      </c>
      <c r="O774" t="s">
        <v>77</v>
      </c>
    </row>
    <row r="775" spans="1:15" x14ac:dyDescent="0.25">
      <c r="A775">
        <v>18623</v>
      </c>
      <c r="B775" t="s">
        <v>16</v>
      </c>
      <c r="C775" t="s">
        <v>33</v>
      </c>
      <c r="D775" t="str">
        <f>IFERROR(INDEX(Sheet2!$B$2:$B$1132,MATCH(Sheet1!C775,Sheet1!$C$2:$C$1132,0)),"IDK")</f>
        <v>FINANCE</v>
      </c>
      <c r="E775" t="s">
        <v>51</v>
      </c>
      <c r="F775" t="s">
        <v>52</v>
      </c>
      <c r="G775" s="1">
        <v>45584</v>
      </c>
      <c r="H775" t="s">
        <v>56</v>
      </c>
      <c r="I775" s="2" t="s">
        <v>106</v>
      </c>
      <c r="J775" s="2" t="s">
        <v>108</v>
      </c>
      <c r="K775">
        <f>IFERROR(INDEX(Sheet2!$C$2:$C$1132,MATCH(Sheet1!C775,Sheet1!$C$2:$C$1132,0)),"")</f>
        <v>40000</v>
      </c>
      <c r="L775">
        <f>IFERROR(INDEX(Sheet2!$D$2:$D$1132,MATCH(Sheet1!C775,$C$2:$C$1132,0)),"")</f>
        <v>85000</v>
      </c>
      <c r="M775" t="str">
        <f>IFERROR(INDEX($M$2:$M$1132,MATCH(B775,$B$2:$B$1132,0)),"")</f>
        <v>PYTHON, MACHINE LEARNING,PANDAS, NUMPY</v>
      </c>
      <c r="N775" t="s">
        <v>76</v>
      </c>
      <c r="O775" t="s">
        <v>77</v>
      </c>
    </row>
    <row r="776" spans="1:15" x14ac:dyDescent="0.25">
      <c r="A776">
        <v>18624</v>
      </c>
      <c r="B776" t="s">
        <v>16</v>
      </c>
      <c r="C776" t="s">
        <v>23</v>
      </c>
      <c r="D776" t="str">
        <f>IFERROR(INDEX(Sheet2!$B$2:$B$1132,MATCH(Sheet1!C776,Sheet1!$C$2:$C$1132,0)),"IDK")</f>
        <v>IT</v>
      </c>
      <c r="E776" t="s">
        <v>51</v>
      </c>
      <c r="F776" t="s">
        <v>52</v>
      </c>
      <c r="G776" s="1">
        <v>45353</v>
      </c>
      <c r="H776" t="s">
        <v>56</v>
      </c>
      <c r="I776" s="2" t="s">
        <v>109</v>
      </c>
      <c r="J776" s="2" t="s">
        <v>110</v>
      </c>
      <c r="K776">
        <f>IFERROR(INDEX(Sheet2!$C$2:$C$1132,MATCH(Sheet1!C776,Sheet1!$C$2:$C$1132,0)),"")</f>
        <v>35000</v>
      </c>
      <c r="L776">
        <f>IFERROR(INDEX(Sheet2!$D$2:$D$1132,MATCH(Sheet1!C776,$C$2:$C$1132,0)),"")</f>
        <v>70000</v>
      </c>
      <c r="M776" t="str">
        <f>IFERROR(INDEX($M$2:$M$1132,MATCH(B776,$B$2:$B$1132,0)),"")</f>
        <v>PYTHON, MACHINE LEARNING,PANDAS, NUMPY</v>
      </c>
      <c r="N776" t="s">
        <v>76</v>
      </c>
      <c r="O776" t="s">
        <v>77</v>
      </c>
    </row>
    <row r="777" spans="1:15" x14ac:dyDescent="0.25">
      <c r="A777">
        <v>18625</v>
      </c>
      <c r="B777" t="s">
        <v>16</v>
      </c>
      <c r="C777" t="s">
        <v>24</v>
      </c>
      <c r="D777" t="str">
        <f>IFERROR(INDEX(Sheet2!$B$2:$B$1132,MATCH(Sheet1!C777,Sheet1!$C$2:$C$1132,0)),"IDK")</f>
        <v>HEALTH</v>
      </c>
      <c r="E777" t="s">
        <v>51</v>
      </c>
      <c r="F777" t="s">
        <v>52</v>
      </c>
      <c r="G777" s="1">
        <v>45462</v>
      </c>
      <c r="H777" t="s">
        <v>56</v>
      </c>
      <c r="I777" s="2" t="s">
        <v>109</v>
      </c>
      <c r="J777" s="2" t="s">
        <v>111</v>
      </c>
      <c r="K777">
        <f>IFERROR(INDEX(Sheet2!$C$2:$C$1132,MATCH(Sheet1!C777,Sheet1!$C$2:$C$1132,0)),"")</f>
        <v>25000</v>
      </c>
      <c r="L777">
        <f>IFERROR(INDEX(Sheet2!$D$2:$D$1132,MATCH(Sheet1!C777,$C$2:$C$1132,0)),"")</f>
        <v>50000</v>
      </c>
      <c r="M777" t="str">
        <f>IFERROR(INDEX($M$2:$M$1132,MATCH(B777,$B$2:$B$1132,0)),"")</f>
        <v>PYTHON, MACHINE LEARNING,PANDAS, NUMPY</v>
      </c>
      <c r="N777" t="s">
        <v>76</v>
      </c>
      <c r="O777" t="s">
        <v>77</v>
      </c>
    </row>
    <row r="778" spans="1:15" x14ac:dyDescent="0.25">
      <c r="A778">
        <v>18626</v>
      </c>
      <c r="B778" t="s">
        <v>16</v>
      </c>
      <c r="C778" t="s">
        <v>25</v>
      </c>
      <c r="D778" t="str">
        <f>IFERROR(INDEX(Sheet2!$B$2:$B$1132,MATCH(Sheet1!C778,Sheet1!$C$2:$C$1132,0)),"IDK")</f>
        <v>SOCIAL</v>
      </c>
      <c r="E778" t="s">
        <v>51</v>
      </c>
      <c r="F778" t="s">
        <v>52</v>
      </c>
      <c r="G778" s="1">
        <v>45597</v>
      </c>
      <c r="H778" t="s">
        <v>56</v>
      </c>
      <c r="I778" s="2" t="s">
        <v>112</v>
      </c>
      <c r="J778" s="2" t="s">
        <v>113</v>
      </c>
      <c r="K778">
        <f>IFERROR(INDEX(Sheet2!$C$2:$C$1132,MATCH(Sheet1!C778,Sheet1!$C$2:$C$1132,0)),"")</f>
        <v>30000</v>
      </c>
      <c r="L778">
        <f>IFERROR(INDEX(Sheet2!$D$2:$D$1132,MATCH(Sheet1!C778,$C$2:$C$1132,0)),"")</f>
        <v>60000</v>
      </c>
      <c r="M778" t="str">
        <f>IFERROR(INDEX($M$2:$M$1132,MATCH(B778,$B$2:$B$1132,0)),"")</f>
        <v>PYTHON, MACHINE LEARNING,PANDAS, NUMPY</v>
      </c>
      <c r="N778" t="s">
        <v>76</v>
      </c>
      <c r="O778" t="s">
        <v>77</v>
      </c>
    </row>
    <row r="779" spans="1:15" x14ac:dyDescent="0.25">
      <c r="A779">
        <v>18627</v>
      </c>
      <c r="B779" t="s">
        <v>16</v>
      </c>
      <c r="C779" t="s">
        <v>26</v>
      </c>
      <c r="D779" t="str">
        <f>IFERROR(INDEX(Sheet2!$B$2:$B$1132,MATCH(Sheet1!C779,Sheet1!$C$2:$C$1132,0)),"IDK")</f>
        <v>FINANCE</v>
      </c>
      <c r="E779" t="s">
        <v>51</v>
      </c>
      <c r="F779" t="s">
        <v>52</v>
      </c>
      <c r="G779" s="1">
        <v>45620</v>
      </c>
      <c r="H779" t="s">
        <v>56</v>
      </c>
      <c r="I779" s="2" t="s">
        <v>114</v>
      </c>
      <c r="J779" s="2" t="s">
        <v>115</v>
      </c>
      <c r="K779">
        <f>IFERROR(INDEX(Sheet2!$C$2:$C$1132,MATCH(Sheet1!C779,Sheet1!$C$2:$C$1132,0)),"")</f>
        <v>35000</v>
      </c>
      <c r="L779">
        <f>IFERROR(INDEX(Sheet2!$D$2:$D$1132,MATCH(Sheet1!C779,$C$2:$C$1132,0)),"")</f>
        <v>75000</v>
      </c>
      <c r="M779" t="str">
        <f>IFERROR(INDEX($M$2:$M$1132,MATCH(B779,$B$2:$B$1132,0)),"")</f>
        <v>PYTHON, MACHINE LEARNING,PANDAS, NUMPY</v>
      </c>
      <c r="N779" t="s">
        <v>74</v>
      </c>
      <c r="O779" t="s">
        <v>77</v>
      </c>
    </row>
    <row r="780" spans="1:15" x14ac:dyDescent="0.25">
      <c r="A780">
        <v>18628</v>
      </c>
      <c r="B780" t="s">
        <v>22</v>
      </c>
      <c r="C780" t="s">
        <v>27</v>
      </c>
      <c r="D780" t="str">
        <f>IFERROR(INDEX(Sheet2!$B$2:$B$1132,MATCH(Sheet1!C780,Sheet1!$C$2:$C$1132,0)),"IDK")</f>
        <v>IT</v>
      </c>
      <c r="E780" t="s">
        <v>51</v>
      </c>
      <c r="F780" t="s">
        <v>52</v>
      </c>
      <c r="G780" s="1">
        <v>45447</v>
      </c>
      <c r="H780" t="s">
        <v>56</v>
      </c>
      <c r="I780" s="2" t="s">
        <v>116</v>
      </c>
      <c r="J780" s="2" t="s">
        <v>117</v>
      </c>
      <c r="K780">
        <f>IFERROR(INDEX(Sheet2!$C$2:$C$1132,MATCH(Sheet1!C780,Sheet1!$C$2:$C$1132,0)),"")</f>
        <v>40000</v>
      </c>
      <c r="L780">
        <f>IFERROR(INDEX(Sheet2!$D$2:$D$1132,MATCH(Sheet1!C780,$C$2:$C$1132,0)),"")</f>
        <v>80000</v>
      </c>
      <c r="M780" t="str">
        <f>IFERROR(INDEX($M$2:$M$1132,MATCH(B780,$B$2:$B$1132,0)),"")</f>
        <v>GOOGLE ANALYTICS, SEO, SOCIAL MEDIA ANALYTICS, EXCEL</v>
      </c>
      <c r="N780" t="s">
        <v>74</v>
      </c>
      <c r="O780" t="s">
        <v>77</v>
      </c>
    </row>
    <row r="781" spans="1:15" x14ac:dyDescent="0.25">
      <c r="A781">
        <v>18629</v>
      </c>
      <c r="B781" t="s">
        <v>22</v>
      </c>
      <c r="C781" t="s">
        <v>28</v>
      </c>
      <c r="D781" t="str">
        <f>IFERROR(INDEX(Sheet2!$B$2:$B$1132,MATCH(Sheet1!C781,Sheet1!$C$2:$C$1132,0)),"IDK")</f>
        <v>IT</v>
      </c>
      <c r="E781" t="s">
        <v>51</v>
      </c>
      <c r="F781" t="s">
        <v>52</v>
      </c>
      <c r="G781" s="1">
        <v>45322</v>
      </c>
      <c r="H781" t="s">
        <v>56</v>
      </c>
      <c r="I781" s="2" t="s">
        <v>118</v>
      </c>
      <c r="J781" s="2" t="s">
        <v>119</v>
      </c>
      <c r="K781">
        <f>IFERROR(INDEX(Sheet2!$C$2:$C$1132,MATCH(Sheet1!C781,Sheet1!$C$2:$C$1132,0)),"")</f>
        <v>30000</v>
      </c>
      <c r="L781">
        <f>IFERROR(INDEX(Sheet2!$D$2:$D$1132,MATCH(Sheet1!C781,$C$2:$C$1132,0)),"")</f>
        <v>55000</v>
      </c>
      <c r="M781" t="str">
        <f>IFERROR(INDEX($M$2:$M$1132,MATCH(B781,$B$2:$B$1132,0)),"")</f>
        <v>GOOGLE ANALYTICS, SEO, SOCIAL MEDIA ANALYTICS, EXCEL</v>
      </c>
      <c r="N781" t="s">
        <v>74</v>
      </c>
      <c r="O781" t="s">
        <v>77</v>
      </c>
    </row>
    <row r="782" spans="1:15" x14ac:dyDescent="0.25">
      <c r="A782">
        <v>18630</v>
      </c>
      <c r="B782" t="s">
        <v>22</v>
      </c>
      <c r="C782" t="s">
        <v>29</v>
      </c>
      <c r="D782" t="str">
        <f>IFERROR(INDEX(Sheet2!$B$2:$B$1132,MATCH(Sheet1!C782,Sheet1!$C$2:$C$1132,0)),"IDK")</f>
        <v>IT</v>
      </c>
      <c r="E782" t="s">
        <v>51</v>
      </c>
      <c r="F782" t="s">
        <v>52</v>
      </c>
      <c r="G782" s="1">
        <v>45469</v>
      </c>
      <c r="H782" t="s">
        <v>56</v>
      </c>
      <c r="I782" s="2" t="s">
        <v>118</v>
      </c>
      <c r="J782" s="2" t="s">
        <v>120</v>
      </c>
      <c r="K782">
        <f>IFERROR(INDEX(Sheet2!$C$2:$C$1132,MATCH(Sheet1!C782,Sheet1!$C$2:$C$1132,0)),"")</f>
        <v>35000</v>
      </c>
      <c r="L782">
        <f>IFERROR(INDEX(Sheet2!$D$2:$D$1132,MATCH(Sheet1!C782,$C$2:$C$1132,0)),"")</f>
        <v>70000</v>
      </c>
      <c r="M782" t="str">
        <f>IFERROR(INDEX($M$2:$M$1132,MATCH(B782,$B$2:$B$1132,0)),"")</f>
        <v>GOOGLE ANALYTICS, SEO, SOCIAL MEDIA ANALYTICS, EXCEL</v>
      </c>
      <c r="N782" t="s">
        <v>74</v>
      </c>
      <c r="O782" t="s">
        <v>77</v>
      </c>
    </row>
    <row r="783" spans="1:15" x14ac:dyDescent="0.25">
      <c r="A783">
        <v>18631</v>
      </c>
      <c r="B783" t="s">
        <v>22</v>
      </c>
      <c r="C783" t="s">
        <v>23</v>
      </c>
      <c r="D783" t="str">
        <f>IFERROR(INDEX(Sheet2!$B$2:$B$1132,MATCH(Sheet1!C783,Sheet1!$C$2:$C$1132,0)),"IDK")</f>
        <v>IT</v>
      </c>
      <c r="E783" t="s">
        <v>51</v>
      </c>
      <c r="F783" t="s">
        <v>52</v>
      </c>
      <c r="G783" s="1">
        <v>45613</v>
      </c>
      <c r="H783" t="s">
        <v>56</v>
      </c>
      <c r="I783" s="2" t="s">
        <v>121</v>
      </c>
      <c r="J783" s="2" t="s">
        <v>122</v>
      </c>
      <c r="K783">
        <f>IFERROR(INDEX(Sheet2!$C$2:$C$1132,MATCH(Sheet1!C783,Sheet1!$C$2:$C$1132,0)),"")</f>
        <v>35000</v>
      </c>
      <c r="L783">
        <f>IFERROR(INDEX(Sheet2!$D$2:$D$1132,MATCH(Sheet1!C783,$C$2:$C$1132,0)),"")</f>
        <v>70000</v>
      </c>
      <c r="M783" t="str">
        <f>IFERROR(INDEX($M$2:$M$1132,MATCH(B783,$B$2:$B$1132,0)),"")</f>
        <v>GOOGLE ANALYTICS, SEO, SOCIAL MEDIA ANALYTICS, EXCEL</v>
      </c>
      <c r="N783" t="s">
        <v>74</v>
      </c>
      <c r="O783" t="s">
        <v>77</v>
      </c>
    </row>
    <row r="784" spans="1:15" x14ac:dyDescent="0.25">
      <c r="A784">
        <v>18632</v>
      </c>
      <c r="B784" t="s">
        <v>22</v>
      </c>
      <c r="C784" t="s">
        <v>30</v>
      </c>
      <c r="D784" t="str">
        <f>IFERROR(INDEX(Sheet2!$B$2:$B$1132,MATCH(Sheet1!C784,Sheet1!$C$2:$C$1132,0)),"IDK")</f>
        <v>IT</v>
      </c>
      <c r="E784" t="s">
        <v>51</v>
      </c>
      <c r="F784" t="s">
        <v>52</v>
      </c>
      <c r="G784" s="1">
        <v>45453</v>
      </c>
      <c r="H784" t="s">
        <v>56</v>
      </c>
      <c r="I784" s="2" t="s">
        <v>123</v>
      </c>
      <c r="J784" s="2" t="s">
        <v>124</v>
      </c>
      <c r="K784">
        <f>IFERROR(INDEX(Sheet2!$C$2:$C$1132,MATCH(Sheet1!C784,Sheet1!$C$2:$C$1132,0)),"")</f>
        <v>25000</v>
      </c>
      <c r="L784">
        <f>IFERROR(INDEX(Sheet2!$D$2:$D$1132,MATCH(Sheet1!C784,$C$2:$C$1132,0)),"")</f>
        <v>60000</v>
      </c>
      <c r="M784" t="str">
        <f>IFERROR(INDEX($M$2:$M$1132,MATCH(B784,$B$2:$B$1132,0)),"")</f>
        <v>GOOGLE ANALYTICS, SEO, SOCIAL MEDIA ANALYTICS, EXCEL</v>
      </c>
      <c r="N784" t="s">
        <v>74</v>
      </c>
      <c r="O784" t="s">
        <v>77</v>
      </c>
    </row>
    <row r="785" spans="1:15" x14ac:dyDescent="0.25">
      <c r="A785">
        <v>18633</v>
      </c>
      <c r="B785" t="s">
        <v>22</v>
      </c>
      <c r="C785" t="s">
        <v>31</v>
      </c>
      <c r="D785" t="str">
        <f>IFERROR(INDEX(Sheet2!$B$2:$B$1132,MATCH(Sheet1!C785,Sheet1!$C$2:$C$1132,0)),"IDK")</f>
        <v>IT</v>
      </c>
      <c r="E785" t="s">
        <v>51</v>
      </c>
      <c r="F785" t="s">
        <v>52</v>
      </c>
      <c r="G785" s="1">
        <v>45293</v>
      </c>
      <c r="H785" t="s">
        <v>56</v>
      </c>
      <c r="I785" s="2" t="s">
        <v>125</v>
      </c>
      <c r="J785" s="2" t="s">
        <v>126</v>
      </c>
      <c r="K785">
        <f>IFERROR(INDEX(Sheet2!$C$2:$C$1132,MATCH(Sheet1!C785,Sheet1!$C$2:$C$1132,0)),"")</f>
        <v>25000</v>
      </c>
      <c r="L785">
        <f>IFERROR(INDEX(Sheet2!$D$2:$D$1132,MATCH(Sheet1!C785,$C$2:$C$1132,0)),"")</f>
        <v>75000</v>
      </c>
      <c r="M785" t="str">
        <f>IFERROR(INDEX($M$2:$M$1132,MATCH(B785,$B$2:$B$1132,0)),"")</f>
        <v>GOOGLE ANALYTICS, SEO, SOCIAL MEDIA ANALYTICS, EXCEL</v>
      </c>
      <c r="N785" t="s">
        <v>74</v>
      </c>
      <c r="O785" t="s">
        <v>77</v>
      </c>
    </row>
    <row r="786" spans="1:15" x14ac:dyDescent="0.25">
      <c r="A786">
        <v>18634</v>
      </c>
      <c r="B786" t="s">
        <v>22</v>
      </c>
      <c r="C786" t="s">
        <v>32</v>
      </c>
      <c r="D786" t="str">
        <f>IFERROR(INDEX(Sheet2!$B$2:$B$1132,MATCH(Sheet1!C786,Sheet1!$C$2:$C$1132,0)),"IDK")</f>
        <v>SOCIAL</v>
      </c>
      <c r="E786" t="s">
        <v>51</v>
      </c>
      <c r="F786" t="s">
        <v>52</v>
      </c>
      <c r="G786" s="1">
        <v>45311</v>
      </c>
      <c r="H786" t="s">
        <v>56</v>
      </c>
      <c r="I786" s="2" t="s">
        <v>127</v>
      </c>
      <c r="J786" s="2" t="s">
        <v>128</v>
      </c>
      <c r="K786">
        <f>IFERROR(INDEX(Sheet2!$C$2:$C$1132,MATCH(Sheet1!C786,Sheet1!$C$2:$C$1132,0)),"")</f>
        <v>20000</v>
      </c>
      <c r="L786">
        <f>IFERROR(INDEX(Sheet2!$D$2:$D$1132,MATCH(Sheet1!C786,$C$2:$C$1132,0)),"")</f>
        <v>70000</v>
      </c>
      <c r="M786" t="str">
        <f>IFERROR(INDEX($M$2:$M$1132,MATCH(B786,$B$2:$B$1132,0)),"")</f>
        <v>GOOGLE ANALYTICS, SEO, SOCIAL MEDIA ANALYTICS, EXCEL</v>
      </c>
      <c r="N786" t="s">
        <v>74</v>
      </c>
      <c r="O786" t="s">
        <v>77</v>
      </c>
    </row>
    <row r="787" spans="1:15" x14ac:dyDescent="0.25">
      <c r="A787">
        <v>18635</v>
      </c>
      <c r="B787" t="s">
        <v>22</v>
      </c>
      <c r="C787" t="s">
        <v>33</v>
      </c>
      <c r="D787" t="str">
        <f>IFERROR(INDEX(Sheet2!$B$2:$B$1132,MATCH(Sheet1!C787,Sheet1!$C$2:$C$1132,0)),"IDK")</f>
        <v>FINANCE</v>
      </c>
      <c r="E787" t="s">
        <v>51</v>
      </c>
      <c r="F787" t="s">
        <v>52</v>
      </c>
      <c r="G787" s="1">
        <v>45418</v>
      </c>
      <c r="H787" t="s">
        <v>56</v>
      </c>
      <c r="I787" s="2" t="s">
        <v>106</v>
      </c>
      <c r="J787" s="2" t="s">
        <v>107</v>
      </c>
      <c r="K787">
        <f>IFERROR(INDEX(Sheet2!$C$2:$C$1132,MATCH(Sheet1!C787,Sheet1!$C$2:$C$1132,0)),"")</f>
        <v>40000</v>
      </c>
      <c r="L787">
        <f>IFERROR(INDEX(Sheet2!$D$2:$D$1132,MATCH(Sheet1!C787,$C$2:$C$1132,0)),"")</f>
        <v>85000</v>
      </c>
      <c r="M787" t="str">
        <f>IFERROR(INDEX($M$2:$M$1132,MATCH(B787,$B$2:$B$1132,0)),"")</f>
        <v>GOOGLE ANALYTICS, SEO, SOCIAL MEDIA ANALYTICS, EXCEL</v>
      </c>
      <c r="N787" t="s">
        <v>74</v>
      </c>
      <c r="O787" t="s">
        <v>77</v>
      </c>
    </row>
    <row r="788" spans="1:15" x14ac:dyDescent="0.25">
      <c r="A788">
        <v>18636</v>
      </c>
      <c r="B788" t="s">
        <v>22</v>
      </c>
      <c r="C788" t="s">
        <v>24</v>
      </c>
      <c r="D788" t="str">
        <f>IFERROR(INDEX(Sheet2!$B$2:$B$1132,MATCH(Sheet1!C788,Sheet1!$C$2:$C$1132,0)),"IDK")</f>
        <v>HEALTH</v>
      </c>
      <c r="E788" t="s">
        <v>51</v>
      </c>
      <c r="F788" t="s">
        <v>52</v>
      </c>
      <c r="G788" s="1">
        <v>45623</v>
      </c>
      <c r="H788" t="s">
        <v>56</v>
      </c>
      <c r="I788" s="2" t="s">
        <v>106</v>
      </c>
      <c r="J788" s="2" t="s">
        <v>108</v>
      </c>
      <c r="K788">
        <f>IFERROR(INDEX(Sheet2!$C$2:$C$1132,MATCH(Sheet1!C788,Sheet1!$C$2:$C$1132,0)),"")</f>
        <v>25000</v>
      </c>
      <c r="L788">
        <f>IFERROR(INDEX(Sheet2!$D$2:$D$1132,MATCH(Sheet1!C788,$C$2:$C$1132,0)),"")</f>
        <v>50000</v>
      </c>
      <c r="M788" t="str">
        <f>IFERROR(INDEX($M$2:$M$1132,MATCH(B788,$B$2:$B$1132,0)),"")</f>
        <v>GOOGLE ANALYTICS, SEO, SOCIAL MEDIA ANALYTICS, EXCEL</v>
      </c>
      <c r="N788" t="s">
        <v>75</v>
      </c>
      <c r="O788" t="s">
        <v>77</v>
      </c>
    </row>
    <row r="789" spans="1:15" x14ac:dyDescent="0.25">
      <c r="A789">
        <v>18637</v>
      </c>
      <c r="B789" t="s">
        <v>22</v>
      </c>
      <c r="C789" t="s">
        <v>25</v>
      </c>
      <c r="D789" t="str">
        <f>IFERROR(INDEX(Sheet2!$B$2:$B$1132,MATCH(Sheet1!C789,Sheet1!$C$2:$C$1132,0)),"IDK")</f>
        <v>SOCIAL</v>
      </c>
      <c r="E789" t="s">
        <v>51</v>
      </c>
      <c r="F789" t="s">
        <v>52</v>
      </c>
      <c r="G789" s="1">
        <v>45527</v>
      </c>
      <c r="H789" t="s">
        <v>56</v>
      </c>
      <c r="I789" s="2" t="s">
        <v>109</v>
      </c>
      <c r="J789" s="2" t="s">
        <v>110</v>
      </c>
      <c r="K789">
        <f>IFERROR(INDEX(Sheet2!$C$2:$C$1132,MATCH(Sheet1!C789,Sheet1!$C$2:$C$1132,0)),"")</f>
        <v>30000</v>
      </c>
      <c r="L789">
        <f>IFERROR(INDEX(Sheet2!$D$2:$D$1132,MATCH(Sheet1!C789,$C$2:$C$1132,0)),"")</f>
        <v>60000</v>
      </c>
      <c r="M789" t="str">
        <f>IFERROR(INDEX($M$2:$M$1132,MATCH(B789,$B$2:$B$1132,0)),"")</f>
        <v>GOOGLE ANALYTICS, SEO, SOCIAL MEDIA ANALYTICS, EXCEL</v>
      </c>
      <c r="N789" t="s">
        <v>75</v>
      </c>
      <c r="O789" t="s">
        <v>77</v>
      </c>
    </row>
    <row r="790" spans="1:15" x14ac:dyDescent="0.25">
      <c r="A790">
        <v>18638</v>
      </c>
      <c r="B790" t="s">
        <v>22</v>
      </c>
      <c r="C790" t="s">
        <v>26</v>
      </c>
      <c r="D790" t="str">
        <f>IFERROR(INDEX(Sheet2!$B$2:$B$1132,MATCH(Sheet1!C790,Sheet1!$C$2:$C$1132,0)),"IDK")</f>
        <v>FINANCE</v>
      </c>
      <c r="E790" t="s">
        <v>51</v>
      </c>
      <c r="F790" t="s">
        <v>52</v>
      </c>
      <c r="G790" s="1">
        <v>45468</v>
      </c>
      <c r="H790" t="s">
        <v>56</v>
      </c>
      <c r="I790" s="2" t="s">
        <v>109</v>
      </c>
      <c r="J790" s="2" t="s">
        <v>111</v>
      </c>
      <c r="K790">
        <f>IFERROR(INDEX(Sheet2!$C$2:$C$1132,MATCH(Sheet1!C790,Sheet1!$C$2:$C$1132,0)),"")</f>
        <v>35000</v>
      </c>
      <c r="L790">
        <f>IFERROR(INDEX(Sheet2!$D$2:$D$1132,MATCH(Sheet1!C790,$C$2:$C$1132,0)),"")</f>
        <v>75000</v>
      </c>
      <c r="M790" t="str">
        <f>IFERROR(INDEX($M$2:$M$1132,MATCH(B790,$B$2:$B$1132,0)),"")</f>
        <v>GOOGLE ANALYTICS, SEO, SOCIAL MEDIA ANALYTICS, EXCEL</v>
      </c>
      <c r="N790" t="s">
        <v>75</v>
      </c>
      <c r="O790" t="s">
        <v>77</v>
      </c>
    </row>
    <row r="791" spans="1:15" x14ac:dyDescent="0.25">
      <c r="A791">
        <v>18639</v>
      </c>
      <c r="B791" t="s">
        <v>22</v>
      </c>
      <c r="C791" t="s">
        <v>27</v>
      </c>
      <c r="D791" t="str">
        <f>IFERROR(INDEX(Sheet2!$B$2:$B$1132,MATCH(Sheet1!C791,Sheet1!$C$2:$C$1132,0)),"IDK")</f>
        <v>IT</v>
      </c>
      <c r="E791" t="s">
        <v>51</v>
      </c>
      <c r="F791" t="s">
        <v>52</v>
      </c>
      <c r="G791" s="1">
        <v>45538</v>
      </c>
      <c r="H791" t="s">
        <v>56</v>
      </c>
      <c r="I791" s="2" t="s">
        <v>109</v>
      </c>
      <c r="J791" s="2" t="s">
        <v>110</v>
      </c>
      <c r="K791">
        <f>IFERROR(INDEX(Sheet2!$C$2:$C$1132,MATCH(Sheet1!C791,Sheet1!$C$2:$C$1132,0)),"")</f>
        <v>40000</v>
      </c>
      <c r="L791">
        <f>IFERROR(INDEX(Sheet2!$D$2:$D$1132,MATCH(Sheet1!C791,$C$2:$C$1132,0)),"")</f>
        <v>80000</v>
      </c>
      <c r="M791" t="str">
        <f>IFERROR(INDEX($M$2:$M$1132,MATCH(B791,$B$2:$B$1132,0)),"")</f>
        <v>GOOGLE ANALYTICS, SEO, SOCIAL MEDIA ANALYTICS, EXCEL</v>
      </c>
      <c r="N791" t="s">
        <v>75</v>
      </c>
      <c r="O791" t="s">
        <v>77</v>
      </c>
    </row>
    <row r="792" spans="1:15" x14ac:dyDescent="0.25">
      <c r="A792">
        <v>18640</v>
      </c>
      <c r="B792" t="s">
        <v>22</v>
      </c>
      <c r="C792" t="s">
        <v>28</v>
      </c>
      <c r="D792" t="str">
        <f>IFERROR(INDEX(Sheet2!$B$2:$B$1132,MATCH(Sheet1!C792,Sheet1!$C$2:$C$1132,0)),"IDK")</f>
        <v>IT</v>
      </c>
      <c r="E792" t="s">
        <v>51</v>
      </c>
      <c r="F792" t="s">
        <v>52</v>
      </c>
      <c r="G792" s="1">
        <v>45431</v>
      </c>
      <c r="H792" t="s">
        <v>56</v>
      </c>
      <c r="I792" s="2" t="s">
        <v>109</v>
      </c>
      <c r="J792" s="2" t="s">
        <v>111</v>
      </c>
      <c r="K792">
        <f>IFERROR(INDEX(Sheet2!$C$2:$C$1132,MATCH(Sheet1!C792,Sheet1!$C$2:$C$1132,0)),"")</f>
        <v>30000</v>
      </c>
      <c r="L792">
        <f>IFERROR(INDEX(Sheet2!$D$2:$D$1132,MATCH(Sheet1!C792,$C$2:$C$1132,0)),"")</f>
        <v>55000</v>
      </c>
      <c r="M792" t="str">
        <f>IFERROR(INDEX($M$2:$M$1132,MATCH(B792,$B$2:$B$1132,0)),"")</f>
        <v>GOOGLE ANALYTICS, SEO, SOCIAL MEDIA ANALYTICS, EXCEL</v>
      </c>
      <c r="N792" t="s">
        <v>75</v>
      </c>
      <c r="O792" t="s">
        <v>77</v>
      </c>
    </row>
    <row r="793" spans="1:15" x14ac:dyDescent="0.25">
      <c r="A793">
        <v>18641</v>
      </c>
      <c r="B793" t="s">
        <v>22</v>
      </c>
      <c r="C793" t="s">
        <v>29</v>
      </c>
      <c r="D793" t="str">
        <f>IFERROR(INDEX(Sheet2!$B$2:$B$1132,MATCH(Sheet1!C793,Sheet1!$C$2:$C$1132,0)),"IDK")</f>
        <v>IT</v>
      </c>
      <c r="E793" t="s">
        <v>51</v>
      </c>
      <c r="F793" t="s">
        <v>52</v>
      </c>
      <c r="G793" s="1">
        <v>45631</v>
      </c>
      <c r="H793" t="s">
        <v>56</v>
      </c>
      <c r="I793" s="2" t="s">
        <v>112</v>
      </c>
      <c r="J793" s="2" t="s">
        <v>113</v>
      </c>
      <c r="K793">
        <f>IFERROR(INDEX(Sheet2!$C$2:$C$1132,MATCH(Sheet1!C793,Sheet1!$C$2:$C$1132,0)),"")</f>
        <v>35000</v>
      </c>
      <c r="L793">
        <f>IFERROR(INDEX(Sheet2!$D$2:$D$1132,MATCH(Sheet1!C793,$C$2:$C$1132,0)),"")</f>
        <v>70000</v>
      </c>
      <c r="M793" t="str">
        <f>IFERROR(INDEX($M$2:$M$1132,MATCH(B793,$B$2:$B$1132,0)),"")</f>
        <v>GOOGLE ANALYTICS, SEO, SOCIAL MEDIA ANALYTICS, EXCEL</v>
      </c>
      <c r="N793" t="s">
        <v>75</v>
      </c>
      <c r="O793" t="s">
        <v>77</v>
      </c>
    </row>
    <row r="794" spans="1:15" x14ac:dyDescent="0.25">
      <c r="A794">
        <v>18642</v>
      </c>
      <c r="B794" t="s">
        <v>22</v>
      </c>
      <c r="C794" t="s">
        <v>23</v>
      </c>
      <c r="D794" t="str">
        <f>IFERROR(INDEX(Sheet2!$B$2:$B$1132,MATCH(Sheet1!C794,Sheet1!$C$2:$C$1132,0)),"IDK")</f>
        <v>IT</v>
      </c>
      <c r="E794" t="s">
        <v>51</v>
      </c>
      <c r="F794" t="s">
        <v>52</v>
      </c>
      <c r="G794" s="1">
        <v>45587</v>
      </c>
      <c r="H794" t="s">
        <v>56</v>
      </c>
      <c r="I794" s="2" t="s">
        <v>114</v>
      </c>
      <c r="J794" s="2" t="s">
        <v>115</v>
      </c>
      <c r="K794">
        <f>IFERROR(INDEX(Sheet2!$C$2:$C$1132,MATCH(Sheet1!C794,Sheet1!$C$2:$C$1132,0)),"")</f>
        <v>35000</v>
      </c>
      <c r="L794">
        <f>IFERROR(INDEX(Sheet2!$D$2:$D$1132,MATCH(Sheet1!C794,$C$2:$C$1132,0)),"")</f>
        <v>70000</v>
      </c>
      <c r="M794" t="str">
        <f>IFERROR(INDEX($M$2:$M$1132,MATCH(B794,$B$2:$B$1132,0)),"")</f>
        <v>GOOGLE ANALYTICS, SEO, SOCIAL MEDIA ANALYTICS, EXCEL</v>
      </c>
      <c r="N794" t="s">
        <v>75</v>
      </c>
      <c r="O794" t="s">
        <v>77</v>
      </c>
    </row>
    <row r="795" spans="1:15" x14ac:dyDescent="0.25">
      <c r="A795">
        <v>18643</v>
      </c>
      <c r="B795" t="s">
        <v>22</v>
      </c>
      <c r="C795" t="s">
        <v>30</v>
      </c>
      <c r="D795" t="str">
        <f>IFERROR(INDEX(Sheet2!$B$2:$B$1132,MATCH(Sheet1!C795,Sheet1!$C$2:$C$1132,0)),"IDK")</f>
        <v>IT</v>
      </c>
      <c r="E795" t="s">
        <v>51</v>
      </c>
      <c r="F795" t="s">
        <v>52</v>
      </c>
      <c r="G795" s="1">
        <v>45520</v>
      </c>
      <c r="H795" t="s">
        <v>56</v>
      </c>
      <c r="I795" s="2" t="s">
        <v>116</v>
      </c>
      <c r="J795" s="2" t="s">
        <v>117</v>
      </c>
      <c r="K795">
        <f>IFERROR(INDEX(Sheet2!$C$2:$C$1132,MATCH(Sheet1!C795,Sheet1!$C$2:$C$1132,0)),"")</f>
        <v>25000</v>
      </c>
      <c r="L795">
        <f>IFERROR(INDEX(Sheet2!$D$2:$D$1132,MATCH(Sheet1!C795,$C$2:$C$1132,0)),"")</f>
        <v>60000</v>
      </c>
      <c r="M795" t="str">
        <f>IFERROR(INDEX($M$2:$M$1132,MATCH(B795,$B$2:$B$1132,0)),"")</f>
        <v>GOOGLE ANALYTICS, SEO, SOCIAL MEDIA ANALYTICS, EXCEL</v>
      </c>
      <c r="N795" t="s">
        <v>75</v>
      </c>
      <c r="O795" t="s">
        <v>77</v>
      </c>
    </row>
    <row r="796" spans="1:15" x14ac:dyDescent="0.25">
      <c r="A796">
        <v>18644</v>
      </c>
      <c r="B796" t="s">
        <v>22</v>
      </c>
      <c r="C796" t="s">
        <v>31</v>
      </c>
      <c r="D796" t="str">
        <f>IFERROR(INDEX(Sheet2!$B$2:$B$1132,MATCH(Sheet1!C796,Sheet1!$C$2:$C$1132,0)),"IDK")</f>
        <v>IT</v>
      </c>
      <c r="E796" t="s">
        <v>51</v>
      </c>
      <c r="F796" t="s">
        <v>52</v>
      </c>
      <c r="G796" s="1">
        <v>45595</v>
      </c>
      <c r="H796" t="s">
        <v>56</v>
      </c>
      <c r="I796" s="2" t="s">
        <v>118</v>
      </c>
      <c r="J796" s="2" t="s">
        <v>119</v>
      </c>
      <c r="K796">
        <f>IFERROR(INDEX(Sheet2!$C$2:$C$1132,MATCH(Sheet1!C796,Sheet1!$C$2:$C$1132,0)),"")</f>
        <v>25000</v>
      </c>
      <c r="L796">
        <f>IFERROR(INDEX(Sheet2!$D$2:$D$1132,MATCH(Sheet1!C796,$C$2:$C$1132,0)),"")</f>
        <v>75000</v>
      </c>
      <c r="M796" t="str">
        <f>IFERROR(INDEX($M$2:$M$1132,MATCH(B796,$B$2:$B$1132,0)),"")</f>
        <v>GOOGLE ANALYTICS, SEO, SOCIAL MEDIA ANALYTICS, EXCEL</v>
      </c>
      <c r="N796" t="s">
        <v>75</v>
      </c>
      <c r="O796" t="s">
        <v>77</v>
      </c>
    </row>
    <row r="797" spans="1:15" x14ac:dyDescent="0.25">
      <c r="A797">
        <v>18645</v>
      </c>
      <c r="B797" t="s">
        <v>22</v>
      </c>
      <c r="C797" t="s">
        <v>32</v>
      </c>
      <c r="D797" t="str">
        <f>IFERROR(INDEX(Sheet2!$B$2:$B$1132,MATCH(Sheet1!C797,Sheet1!$C$2:$C$1132,0)),"IDK")</f>
        <v>SOCIAL</v>
      </c>
      <c r="E797" t="s">
        <v>51</v>
      </c>
      <c r="F797" t="s">
        <v>52</v>
      </c>
      <c r="G797" s="1">
        <v>45596</v>
      </c>
      <c r="H797" t="s">
        <v>56</v>
      </c>
      <c r="I797" s="2" t="s">
        <v>118</v>
      </c>
      <c r="J797" s="2" t="s">
        <v>120</v>
      </c>
      <c r="K797">
        <f>IFERROR(INDEX(Sheet2!$C$2:$C$1132,MATCH(Sheet1!C797,Sheet1!$C$2:$C$1132,0)),"")</f>
        <v>20000</v>
      </c>
      <c r="L797">
        <f>IFERROR(INDEX(Sheet2!$D$2:$D$1132,MATCH(Sheet1!C797,$C$2:$C$1132,0)),"")</f>
        <v>70000</v>
      </c>
      <c r="M797" t="str">
        <f>IFERROR(INDEX($M$2:$M$1132,MATCH(B797,$B$2:$B$1132,0)),"")</f>
        <v>GOOGLE ANALYTICS, SEO, SOCIAL MEDIA ANALYTICS, EXCEL</v>
      </c>
      <c r="N797" t="s">
        <v>76</v>
      </c>
      <c r="O797" t="s">
        <v>77</v>
      </c>
    </row>
    <row r="798" spans="1:15" x14ac:dyDescent="0.25">
      <c r="A798">
        <v>18646</v>
      </c>
      <c r="B798" t="s">
        <v>22</v>
      </c>
      <c r="C798" t="s">
        <v>33</v>
      </c>
      <c r="D798" t="str">
        <f>IFERROR(INDEX(Sheet2!$B$2:$B$1132,MATCH(Sheet1!C798,Sheet1!$C$2:$C$1132,0)),"IDK")</f>
        <v>FINANCE</v>
      </c>
      <c r="E798" t="s">
        <v>51</v>
      </c>
      <c r="F798" t="s">
        <v>52</v>
      </c>
      <c r="G798" s="1">
        <v>45352</v>
      </c>
      <c r="H798" t="s">
        <v>56</v>
      </c>
      <c r="I798" s="2" t="s">
        <v>121</v>
      </c>
      <c r="J798" s="2" t="s">
        <v>122</v>
      </c>
      <c r="K798">
        <f>IFERROR(INDEX(Sheet2!$C$2:$C$1132,MATCH(Sheet1!C798,Sheet1!$C$2:$C$1132,0)),"")</f>
        <v>40000</v>
      </c>
      <c r="L798">
        <f>IFERROR(INDEX(Sheet2!$D$2:$D$1132,MATCH(Sheet1!C798,$C$2:$C$1132,0)),"")</f>
        <v>85000</v>
      </c>
      <c r="M798" t="str">
        <f>IFERROR(INDEX($M$2:$M$1132,MATCH(B798,$B$2:$B$1132,0)),"")</f>
        <v>GOOGLE ANALYTICS, SEO, SOCIAL MEDIA ANALYTICS, EXCEL</v>
      </c>
      <c r="N798" t="s">
        <v>76</v>
      </c>
      <c r="O798" t="s">
        <v>77</v>
      </c>
    </row>
    <row r="799" spans="1:15" x14ac:dyDescent="0.25">
      <c r="A799">
        <v>18647</v>
      </c>
      <c r="B799" t="s">
        <v>22</v>
      </c>
      <c r="C799" t="s">
        <v>34</v>
      </c>
      <c r="D799" t="str">
        <f>IFERROR(INDEX(Sheet2!$B$2:$B$1132,MATCH(Sheet1!C799,Sheet1!$C$2:$C$1132,0)),"IDK")</f>
        <v>IT</v>
      </c>
      <c r="E799" t="s">
        <v>51</v>
      </c>
      <c r="F799" t="s">
        <v>52</v>
      </c>
      <c r="G799" s="1">
        <v>45428</v>
      </c>
      <c r="H799" t="s">
        <v>56</v>
      </c>
      <c r="I799" s="2" t="s">
        <v>123</v>
      </c>
      <c r="J799" s="2" t="s">
        <v>124</v>
      </c>
      <c r="K799">
        <f>IFERROR(INDEX(Sheet2!$C$2:$C$1132,MATCH(Sheet1!C799,Sheet1!$C$2:$C$1132,0)),"")</f>
        <v>35000</v>
      </c>
      <c r="L799">
        <f>IFERROR(INDEX(Sheet2!$D$2:$D$1132,MATCH(Sheet1!C799,$C$2:$C$1132,0)),"")</f>
        <v>90000</v>
      </c>
      <c r="M799" t="str">
        <f>IFERROR(INDEX($M$2:$M$1132,MATCH(B799,$B$2:$B$1132,0)),"")</f>
        <v>GOOGLE ANALYTICS, SEO, SOCIAL MEDIA ANALYTICS, EXCEL</v>
      </c>
      <c r="N799" t="s">
        <v>76</v>
      </c>
      <c r="O799" t="s">
        <v>77</v>
      </c>
    </row>
    <row r="800" spans="1:15" x14ac:dyDescent="0.25">
      <c r="A800">
        <v>18648</v>
      </c>
      <c r="B800" t="s">
        <v>22</v>
      </c>
      <c r="C800" t="s">
        <v>35</v>
      </c>
      <c r="D800" t="str">
        <f>IFERROR(INDEX(Sheet2!$B$2:$B$1132,MATCH(Sheet1!C800,Sheet1!$C$2:$C$1132,0)),"IDK")</f>
        <v>SOCIAL</v>
      </c>
      <c r="E800" t="s">
        <v>51</v>
      </c>
      <c r="F800" t="s">
        <v>52</v>
      </c>
      <c r="G800" s="1">
        <v>45323</v>
      </c>
      <c r="H800" t="s">
        <v>56</v>
      </c>
      <c r="I800" s="2" t="s">
        <v>125</v>
      </c>
      <c r="J800" s="2" t="s">
        <v>126</v>
      </c>
      <c r="K800">
        <f>IFERROR(INDEX(Sheet2!$C$2:$C$1132,MATCH(Sheet1!C800,Sheet1!$C$2:$C$1132,0)),"")</f>
        <v>30000</v>
      </c>
      <c r="L800">
        <f>IFERROR(INDEX(Sheet2!$D$2:$D$1132,MATCH(Sheet1!C800,$C$2:$C$1132,0)),"")</f>
        <v>95000</v>
      </c>
      <c r="M800" t="str">
        <f>IFERROR(INDEX($M$2:$M$1132,MATCH(B800,$B$2:$B$1132,0)),"")</f>
        <v>GOOGLE ANALYTICS, SEO, SOCIAL MEDIA ANALYTICS, EXCEL</v>
      </c>
      <c r="N800" t="s">
        <v>76</v>
      </c>
      <c r="O800" t="s">
        <v>77</v>
      </c>
    </row>
    <row r="801" spans="1:15" x14ac:dyDescent="0.25">
      <c r="A801">
        <v>18649</v>
      </c>
      <c r="B801" t="s">
        <v>22</v>
      </c>
      <c r="C801" t="s">
        <v>36</v>
      </c>
      <c r="D801" t="str">
        <f>IFERROR(INDEX(Sheet2!$B$2:$B$1132,MATCH(Sheet1!C801,Sheet1!$C$2:$C$1132,0)),"IDK")</f>
        <v>IT</v>
      </c>
      <c r="E801" t="s">
        <v>51</v>
      </c>
      <c r="F801" t="s">
        <v>52</v>
      </c>
      <c r="G801" s="1">
        <v>45441</v>
      </c>
      <c r="H801" t="s">
        <v>56</v>
      </c>
      <c r="I801" s="2" t="s">
        <v>127</v>
      </c>
      <c r="J801" s="2" t="s">
        <v>128</v>
      </c>
      <c r="K801">
        <f>IFERROR(INDEX(Sheet2!$C$2:$C$1132,MATCH(Sheet1!C801,Sheet1!$C$2:$C$1132,0)),"")</f>
        <v>50000</v>
      </c>
      <c r="L801">
        <f>IFERROR(INDEX(Sheet2!$D$2:$D$1132,MATCH(Sheet1!C801,$C$2:$C$1132,0)),"")</f>
        <v>100000</v>
      </c>
      <c r="M801" t="str">
        <f>IFERROR(INDEX($M$2:$M$1132,MATCH(B801,$B$2:$B$1132,0)),"")</f>
        <v>GOOGLE ANALYTICS, SEO, SOCIAL MEDIA ANALYTICS, EXCEL</v>
      </c>
      <c r="N801" t="s">
        <v>76</v>
      </c>
      <c r="O801" t="s">
        <v>77</v>
      </c>
    </row>
    <row r="802" spans="1:15" x14ac:dyDescent="0.25">
      <c r="A802">
        <v>18650</v>
      </c>
      <c r="B802" t="s">
        <v>22</v>
      </c>
      <c r="C802" t="s">
        <v>27</v>
      </c>
      <c r="D802" t="str">
        <f>IFERROR(INDEX(Sheet2!$B$2:$B$1132,MATCH(Sheet1!C802,Sheet1!$C$2:$C$1132,0)),"IDK")</f>
        <v>IT</v>
      </c>
      <c r="E802" t="s">
        <v>51</v>
      </c>
      <c r="F802" t="s">
        <v>52</v>
      </c>
      <c r="G802" s="1">
        <v>45480</v>
      </c>
      <c r="H802" t="s">
        <v>56</v>
      </c>
      <c r="I802" s="2" t="s">
        <v>121</v>
      </c>
      <c r="J802" s="2" t="s">
        <v>122</v>
      </c>
      <c r="K802">
        <f>IFERROR(INDEX(Sheet2!$C$2:$C$1132,MATCH(Sheet1!C802,Sheet1!$C$2:$C$1132,0)),"")</f>
        <v>40000</v>
      </c>
      <c r="L802">
        <f>IFERROR(INDEX(Sheet2!$D$2:$D$1132,MATCH(Sheet1!C802,$C$2:$C$1132,0)),"")</f>
        <v>80000</v>
      </c>
      <c r="M802" t="str">
        <f>IFERROR(INDEX($M$2:$M$1132,MATCH(B802,$B$2:$B$1132,0)),"")</f>
        <v>GOOGLE ANALYTICS, SEO, SOCIAL MEDIA ANALYTICS, EXCEL</v>
      </c>
      <c r="N802" t="s">
        <v>76</v>
      </c>
      <c r="O802" t="s">
        <v>77</v>
      </c>
    </row>
    <row r="803" spans="1:15" x14ac:dyDescent="0.25">
      <c r="A803">
        <v>18651</v>
      </c>
      <c r="B803" t="s">
        <v>22</v>
      </c>
      <c r="C803" t="s">
        <v>28</v>
      </c>
      <c r="D803" t="str">
        <f>IFERROR(INDEX(Sheet2!$B$2:$B$1132,MATCH(Sheet1!C803,Sheet1!$C$2:$C$1132,0)),"IDK")</f>
        <v>IT</v>
      </c>
      <c r="E803" t="s">
        <v>51</v>
      </c>
      <c r="F803" t="s">
        <v>52</v>
      </c>
      <c r="G803" s="1">
        <v>45494</v>
      </c>
      <c r="H803" t="s">
        <v>56</v>
      </c>
      <c r="I803" s="2" t="s">
        <v>123</v>
      </c>
      <c r="J803" s="2" t="s">
        <v>124</v>
      </c>
      <c r="K803">
        <f>IFERROR(INDEX(Sheet2!$C$2:$C$1132,MATCH(Sheet1!C803,Sheet1!$C$2:$C$1132,0)),"")</f>
        <v>30000</v>
      </c>
      <c r="L803">
        <f>IFERROR(INDEX(Sheet2!$D$2:$D$1132,MATCH(Sheet1!C803,$C$2:$C$1132,0)),"")</f>
        <v>55000</v>
      </c>
      <c r="M803" t="str">
        <f>IFERROR(INDEX($M$2:$M$1132,MATCH(B803,$B$2:$B$1132,0)),"")</f>
        <v>GOOGLE ANALYTICS, SEO, SOCIAL MEDIA ANALYTICS, EXCEL</v>
      </c>
      <c r="N803" t="s">
        <v>76</v>
      </c>
      <c r="O803" t="s">
        <v>77</v>
      </c>
    </row>
    <row r="804" spans="1:15" x14ac:dyDescent="0.25">
      <c r="A804">
        <v>18652</v>
      </c>
      <c r="B804" t="s">
        <v>22</v>
      </c>
      <c r="C804" t="s">
        <v>29</v>
      </c>
      <c r="D804" t="str">
        <f>IFERROR(INDEX(Sheet2!$B$2:$B$1132,MATCH(Sheet1!C804,Sheet1!$C$2:$C$1132,0)),"IDK")</f>
        <v>IT</v>
      </c>
      <c r="E804" t="s">
        <v>51</v>
      </c>
      <c r="F804" t="s">
        <v>52</v>
      </c>
      <c r="G804" s="1">
        <v>45498</v>
      </c>
      <c r="H804" t="s">
        <v>56</v>
      </c>
      <c r="I804" s="2" t="s">
        <v>125</v>
      </c>
      <c r="J804" s="2" t="s">
        <v>126</v>
      </c>
      <c r="K804">
        <f>IFERROR(INDEX(Sheet2!$C$2:$C$1132,MATCH(Sheet1!C804,Sheet1!$C$2:$C$1132,0)),"")</f>
        <v>35000</v>
      </c>
      <c r="L804">
        <f>IFERROR(INDEX(Sheet2!$D$2:$D$1132,MATCH(Sheet1!C804,$C$2:$C$1132,0)),"")</f>
        <v>70000</v>
      </c>
      <c r="M804" t="str">
        <f>IFERROR(INDEX($M$2:$M$1132,MATCH(B804,$B$2:$B$1132,0)),"")</f>
        <v>GOOGLE ANALYTICS, SEO, SOCIAL MEDIA ANALYTICS, EXCEL</v>
      </c>
      <c r="N804" t="s">
        <v>76</v>
      </c>
      <c r="O804" t="s">
        <v>77</v>
      </c>
    </row>
    <row r="805" spans="1:15" x14ac:dyDescent="0.25">
      <c r="A805">
        <v>18653</v>
      </c>
      <c r="B805" t="s">
        <v>22</v>
      </c>
      <c r="C805" t="s">
        <v>23</v>
      </c>
      <c r="D805" t="str">
        <f>IFERROR(INDEX(Sheet2!$B$2:$B$1132,MATCH(Sheet1!C805,Sheet1!$C$2:$C$1132,0)),"IDK")</f>
        <v>IT</v>
      </c>
      <c r="E805" t="s">
        <v>51</v>
      </c>
      <c r="F805" t="s">
        <v>52</v>
      </c>
      <c r="G805" s="1">
        <v>45591</v>
      </c>
      <c r="H805" t="s">
        <v>56</v>
      </c>
      <c r="I805" s="2" t="s">
        <v>127</v>
      </c>
      <c r="J805" s="2" t="s">
        <v>128</v>
      </c>
      <c r="K805">
        <f>IFERROR(INDEX(Sheet2!$C$2:$C$1132,MATCH(Sheet1!C805,Sheet1!$C$2:$C$1132,0)),"")</f>
        <v>35000</v>
      </c>
      <c r="L805">
        <f>IFERROR(INDEX(Sheet2!$D$2:$D$1132,MATCH(Sheet1!C805,$C$2:$C$1132,0)),"")</f>
        <v>70000</v>
      </c>
      <c r="M805" t="str">
        <f>IFERROR(INDEX($M$2:$M$1132,MATCH(B805,$B$2:$B$1132,0)),"")</f>
        <v>GOOGLE ANALYTICS, SEO, SOCIAL MEDIA ANALYTICS, EXCEL</v>
      </c>
      <c r="N805" t="s">
        <v>76</v>
      </c>
      <c r="O805" t="s">
        <v>77</v>
      </c>
    </row>
    <row r="806" spans="1:15" x14ac:dyDescent="0.25">
      <c r="A806">
        <v>18654</v>
      </c>
      <c r="B806" t="s">
        <v>22</v>
      </c>
      <c r="C806" t="s">
        <v>30</v>
      </c>
      <c r="D806" t="str">
        <f>IFERROR(INDEX(Sheet2!$B$2:$B$1132,MATCH(Sheet1!C806,Sheet1!$C$2:$C$1132,0)),"IDK")</f>
        <v>IT</v>
      </c>
      <c r="E806" t="s">
        <v>51</v>
      </c>
      <c r="F806" t="s">
        <v>52</v>
      </c>
      <c r="G806" s="1">
        <v>45520</v>
      </c>
      <c r="H806" t="s">
        <v>56</v>
      </c>
      <c r="I806" s="2" t="s">
        <v>109</v>
      </c>
      <c r="J806" s="2" t="s">
        <v>110</v>
      </c>
      <c r="K806">
        <f>IFERROR(INDEX(Sheet2!$C$2:$C$1132,MATCH(Sheet1!C806,Sheet1!$C$2:$C$1132,0)),"")</f>
        <v>25000</v>
      </c>
      <c r="L806">
        <f>IFERROR(INDEX(Sheet2!$D$2:$D$1132,MATCH(Sheet1!C806,$C$2:$C$1132,0)),"")</f>
        <v>60000</v>
      </c>
      <c r="M806" t="str">
        <f>IFERROR(INDEX($M$2:$M$1132,MATCH(B806,$B$2:$B$1132,0)),"")</f>
        <v>GOOGLE ANALYTICS, SEO, SOCIAL MEDIA ANALYTICS, EXCEL</v>
      </c>
      <c r="N806" t="s">
        <v>76</v>
      </c>
      <c r="O806" t="s">
        <v>77</v>
      </c>
    </row>
    <row r="807" spans="1:15" x14ac:dyDescent="0.25">
      <c r="A807">
        <v>18655</v>
      </c>
      <c r="B807" t="s">
        <v>22</v>
      </c>
      <c r="C807" t="s">
        <v>31</v>
      </c>
      <c r="D807" t="str">
        <f>IFERROR(INDEX(Sheet2!$B$2:$B$1132,MATCH(Sheet1!C807,Sheet1!$C$2:$C$1132,0)),"IDK")</f>
        <v>IT</v>
      </c>
      <c r="E807" t="s">
        <v>51</v>
      </c>
      <c r="F807" t="s">
        <v>52</v>
      </c>
      <c r="G807" s="1">
        <v>45385</v>
      </c>
      <c r="H807" t="s">
        <v>56</v>
      </c>
      <c r="I807" s="2" t="s">
        <v>109</v>
      </c>
      <c r="J807" s="2" t="s">
        <v>110</v>
      </c>
      <c r="K807">
        <f>IFERROR(INDEX(Sheet2!$C$2:$C$1132,MATCH(Sheet1!C807,Sheet1!$C$2:$C$1132,0)),"")</f>
        <v>25000</v>
      </c>
      <c r="L807">
        <f>IFERROR(INDEX(Sheet2!$D$2:$D$1132,MATCH(Sheet1!C807,$C$2:$C$1132,0)),"")</f>
        <v>75000</v>
      </c>
      <c r="M807" t="str">
        <f>IFERROR(INDEX($M$2:$M$1132,MATCH(B807,$B$2:$B$1132,0)),"")</f>
        <v>GOOGLE ANALYTICS, SEO, SOCIAL MEDIA ANALYTICS, EXCEL</v>
      </c>
      <c r="N807" t="s">
        <v>76</v>
      </c>
      <c r="O807" t="s">
        <v>77</v>
      </c>
    </row>
    <row r="808" spans="1:15" x14ac:dyDescent="0.25">
      <c r="A808">
        <v>18656</v>
      </c>
      <c r="B808" t="s">
        <v>22</v>
      </c>
      <c r="C808" t="s">
        <v>32</v>
      </c>
      <c r="D808" t="str">
        <f>IFERROR(INDEX(Sheet2!$B$2:$B$1132,MATCH(Sheet1!C808,Sheet1!$C$2:$C$1132,0)),"IDK")</f>
        <v>SOCIAL</v>
      </c>
      <c r="E808" t="s">
        <v>51</v>
      </c>
      <c r="F808" t="s">
        <v>52</v>
      </c>
      <c r="G808" s="1">
        <v>45440</v>
      </c>
      <c r="H808" t="s">
        <v>56</v>
      </c>
      <c r="I808" s="2" t="s">
        <v>109</v>
      </c>
      <c r="J808" s="2" t="s">
        <v>111</v>
      </c>
      <c r="K808">
        <f>IFERROR(INDEX(Sheet2!$C$2:$C$1132,MATCH(Sheet1!C808,Sheet1!$C$2:$C$1132,0)),"")</f>
        <v>20000</v>
      </c>
      <c r="L808">
        <f>IFERROR(INDEX(Sheet2!$D$2:$D$1132,MATCH(Sheet1!C808,$C$2:$C$1132,0)),"")</f>
        <v>70000</v>
      </c>
      <c r="M808" t="str">
        <f>IFERROR(INDEX($M$2:$M$1132,MATCH(B808,$B$2:$B$1132,0)),"")</f>
        <v>GOOGLE ANALYTICS, SEO, SOCIAL MEDIA ANALYTICS, EXCEL</v>
      </c>
      <c r="N808" t="s">
        <v>76</v>
      </c>
      <c r="O808" t="s">
        <v>77</v>
      </c>
    </row>
    <row r="809" spans="1:15" x14ac:dyDescent="0.25">
      <c r="A809">
        <v>18657</v>
      </c>
      <c r="B809" t="s">
        <v>22</v>
      </c>
      <c r="C809" t="s">
        <v>33</v>
      </c>
      <c r="D809" t="str">
        <f>IFERROR(INDEX(Sheet2!$B$2:$B$1132,MATCH(Sheet1!C809,Sheet1!$C$2:$C$1132,0)),"IDK")</f>
        <v>FINANCE</v>
      </c>
      <c r="E809" t="s">
        <v>51</v>
      </c>
      <c r="F809" t="s">
        <v>52</v>
      </c>
      <c r="G809" s="1">
        <v>45317</v>
      </c>
      <c r="H809" t="s">
        <v>56</v>
      </c>
      <c r="I809" s="2" t="s">
        <v>112</v>
      </c>
      <c r="J809" s="2" t="s">
        <v>113</v>
      </c>
      <c r="K809">
        <f>IFERROR(INDEX(Sheet2!$C$2:$C$1132,MATCH(Sheet1!C809,Sheet1!$C$2:$C$1132,0)),"")</f>
        <v>40000</v>
      </c>
      <c r="L809">
        <f>IFERROR(INDEX(Sheet2!$D$2:$D$1132,MATCH(Sheet1!C809,$C$2:$C$1132,0)),"")</f>
        <v>85000</v>
      </c>
      <c r="M809" t="str">
        <f>IFERROR(INDEX($M$2:$M$1132,MATCH(B809,$B$2:$B$1132,0)),"")</f>
        <v>GOOGLE ANALYTICS, SEO, SOCIAL MEDIA ANALYTICS, EXCEL</v>
      </c>
      <c r="N809" t="s">
        <v>76</v>
      </c>
      <c r="O809" t="s">
        <v>77</v>
      </c>
    </row>
    <row r="810" spans="1:15" x14ac:dyDescent="0.25">
      <c r="A810">
        <v>18658</v>
      </c>
      <c r="B810" t="s">
        <v>22</v>
      </c>
      <c r="C810" t="s">
        <v>23</v>
      </c>
      <c r="D810" t="str">
        <f>IFERROR(INDEX(Sheet2!$B$2:$B$1132,MATCH(Sheet1!C810,Sheet1!$C$2:$C$1132,0)),"IDK")</f>
        <v>IT</v>
      </c>
      <c r="E810" t="s">
        <v>51</v>
      </c>
      <c r="F810" t="s">
        <v>52</v>
      </c>
      <c r="G810" s="1">
        <v>45344</v>
      </c>
      <c r="H810" t="s">
        <v>56</v>
      </c>
      <c r="I810" s="2" t="s">
        <v>114</v>
      </c>
      <c r="J810" s="2" t="s">
        <v>115</v>
      </c>
      <c r="K810">
        <f>IFERROR(INDEX(Sheet2!$C$2:$C$1132,MATCH(Sheet1!C810,Sheet1!$C$2:$C$1132,0)),"")</f>
        <v>35000</v>
      </c>
      <c r="L810">
        <f>IFERROR(INDEX(Sheet2!$D$2:$D$1132,MATCH(Sheet1!C810,$C$2:$C$1132,0)),"")</f>
        <v>70000</v>
      </c>
      <c r="M810" t="str">
        <f>IFERROR(INDEX($M$2:$M$1132,MATCH(B810,$B$2:$B$1132,0)),"")</f>
        <v>GOOGLE ANALYTICS, SEO, SOCIAL MEDIA ANALYTICS, EXCEL</v>
      </c>
      <c r="N810" t="s">
        <v>76</v>
      </c>
      <c r="O810" t="s">
        <v>77</v>
      </c>
    </row>
    <row r="811" spans="1:15" x14ac:dyDescent="0.25">
      <c r="A811">
        <v>18659</v>
      </c>
      <c r="B811" t="s">
        <v>22</v>
      </c>
      <c r="C811" t="s">
        <v>24</v>
      </c>
      <c r="D811" t="str">
        <f>IFERROR(INDEX(Sheet2!$B$2:$B$1132,MATCH(Sheet1!C811,Sheet1!$C$2:$C$1132,0)),"IDK")</f>
        <v>HEALTH</v>
      </c>
      <c r="E811" t="s">
        <v>51</v>
      </c>
      <c r="F811" t="s">
        <v>52</v>
      </c>
      <c r="G811" s="1">
        <v>45382</v>
      </c>
      <c r="H811" t="s">
        <v>56</v>
      </c>
      <c r="I811" s="2" t="s">
        <v>116</v>
      </c>
      <c r="J811" s="2" t="s">
        <v>117</v>
      </c>
      <c r="K811">
        <f>IFERROR(INDEX(Sheet2!$C$2:$C$1132,MATCH(Sheet1!C811,Sheet1!$C$2:$C$1132,0)),"")</f>
        <v>25000</v>
      </c>
      <c r="L811">
        <f>IFERROR(INDEX(Sheet2!$D$2:$D$1132,MATCH(Sheet1!C811,$C$2:$C$1132,0)),"")</f>
        <v>50000</v>
      </c>
      <c r="M811" t="str">
        <f>IFERROR(INDEX($M$2:$M$1132,MATCH(B811,$B$2:$B$1132,0)),"")</f>
        <v>GOOGLE ANALYTICS, SEO, SOCIAL MEDIA ANALYTICS, EXCEL</v>
      </c>
      <c r="N811" t="s">
        <v>76</v>
      </c>
      <c r="O811" t="s">
        <v>77</v>
      </c>
    </row>
    <row r="812" spans="1:15" x14ac:dyDescent="0.25">
      <c r="A812">
        <v>18660</v>
      </c>
      <c r="B812" t="s">
        <v>22</v>
      </c>
      <c r="C812" t="s">
        <v>25</v>
      </c>
      <c r="D812" t="str">
        <f>IFERROR(INDEX(Sheet2!$B$2:$B$1132,MATCH(Sheet1!C812,Sheet1!$C$2:$C$1132,0)),"IDK")</f>
        <v>SOCIAL</v>
      </c>
      <c r="E812" t="s">
        <v>51</v>
      </c>
      <c r="F812" t="s">
        <v>52</v>
      </c>
      <c r="G812" s="1">
        <v>45487</v>
      </c>
      <c r="H812" t="s">
        <v>56</v>
      </c>
      <c r="I812" s="2" t="s">
        <v>118</v>
      </c>
      <c r="J812" s="2" t="s">
        <v>119</v>
      </c>
      <c r="K812">
        <f>IFERROR(INDEX(Sheet2!$C$2:$C$1132,MATCH(Sheet1!C812,Sheet1!$C$2:$C$1132,0)),"")</f>
        <v>30000</v>
      </c>
      <c r="L812">
        <f>IFERROR(INDEX(Sheet2!$D$2:$D$1132,MATCH(Sheet1!C812,$C$2:$C$1132,0)),"")</f>
        <v>60000</v>
      </c>
      <c r="M812" t="str">
        <f>IFERROR(INDEX($M$2:$M$1132,MATCH(B812,$B$2:$B$1132,0)),"")</f>
        <v>GOOGLE ANALYTICS, SEO, SOCIAL MEDIA ANALYTICS, EXCEL</v>
      </c>
      <c r="N812" t="s">
        <v>74</v>
      </c>
      <c r="O812" t="s">
        <v>77</v>
      </c>
    </row>
    <row r="813" spans="1:15" x14ac:dyDescent="0.25">
      <c r="A813">
        <v>18661</v>
      </c>
      <c r="B813" t="s">
        <v>22</v>
      </c>
      <c r="C813" t="s">
        <v>26</v>
      </c>
      <c r="D813" t="str">
        <f>IFERROR(INDEX(Sheet2!$B$2:$B$1132,MATCH(Sheet1!C813,Sheet1!$C$2:$C$1132,0)),"IDK")</f>
        <v>FINANCE</v>
      </c>
      <c r="E813" t="s">
        <v>51</v>
      </c>
      <c r="F813" t="s">
        <v>52</v>
      </c>
      <c r="G813" s="1">
        <v>45627</v>
      </c>
      <c r="H813" t="s">
        <v>56</v>
      </c>
      <c r="I813" s="2" t="s">
        <v>118</v>
      </c>
      <c r="J813" s="2" t="s">
        <v>120</v>
      </c>
      <c r="K813">
        <f>IFERROR(INDEX(Sheet2!$C$2:$C$1132,MATCH(Sheet1!C813,Sheet1!$C$2:$C$1132,0)),"")</f>
        <v>35000</v>
      </c>
      <c r="L813">
        <f>IFERROR(INDEX(Sheet2!$D$2:$D$1132,MATCH(Sheet1!C813,$C$2:$C$1132,0)),"")</f>
        <v>75000</v>
      </c>
      <c r="M813" t="str">
        <f>IFERROR(INDEX($M$2:$M$1132,MATCH(B813,$B$2:$B$1132,0)),"")</f>
        <v>GOOGLE ANALYTICS, SEO, SOCIAL MEDIA ANALYTICS, EXCEL</v>
      </c>
      <c r="N813" t="s">
        <v>74</v>
      </c>
      <c r="O813" t="s">
        <v>77</v>
      </c>
    </row>
    <row r="814" spans="1:15" x14ac:dyDescent="0.25">
      <c r="A814">
        <v>18662</v>
      </c>
      <c r="B814" t="s">
        <v>22</v>
      </c>
      <c r="C814" t="s">
        <v>37</v>
      </c>
      <c r="D814" t="s">
        <v>43</v>
      </c>
      <c r="E814" t="s">
        <v>51</v>
      </c>
      <c r="F814" t="s">
        <v>52</v>
      </c>
      <c r="G814" s="1">
        <v>45316</v>
      </c>
      <c r="H814" t="s">
        <v>56</v>
      </c>
      <c r="I814" s="2" t="s">
        <v>121</v>
      </c>
      <c r="J814" s="2" t="s">
        <v>122</v>
      </c>
      <c r="K814">
        <v>45000</v>
      </c>
      <c r="L814">
        <v>90000</v>
      </c>
      <c r="M814" t="str">
        <f>IFERROR(INDEX($M$2:$M$1132,MATCH(B814,$B$2:$B$1132,0)),"")</f>
        <v>GOOGLE ANALYTICS, SEO, SOCIAL MEDIA ANALYTICS, EXCEL</v>
      </c>
      <c r="N814" t="s">
        <v>74</v>
      </c>
      <c r="O814" t="s">
        <v>77</v>
      </c>
    </row>
    <row r="815" spans="1:15" x14ac:dyDescent="0.25">
      <c r="A815">
        <v>18663</v>
      </c>
      <c r="B815" t="s">
        <v>22</v>
      </c>
      <c r="C815" t="s">
        <v>38</v>
      </c>
      <c r="D815" t="s">
        <v>42</v>
      </c>
      <c r="E815" t="s">
        <v>51</v>
      </c>
      <c r="F815" t="s">
        <v>52</v>
      </c>
      <c r="G815" s="1">
        <v>45313</v>
      </c>
      <c r="H815" t="s">
        <v>56</v>
      </c>
      <c r="I815" s="2" t="s">
        <v>123</v>
      </c>
      <c r="J815" s="2" t="s">
        <v>124</v>
      </c>
      <c r="K815">
        <v>20000</v>
      </c>
      <c r="L815">
        <v>80000</v>
      </c>
      <c r="M815" t="str">
        <f>IFERROR(INDEX($M$2:$M$1132,MATCH(B815,$B$2:$B$1132,0)),"")</f>
        <v>GOOGLE ANALYTICS, SEO, SOCIAL MEDIA ANALYTICS, EXCEL</v>
      </c>
      <c r="N815" t="s">
        <v>74</v>
      </c>
      <c r="O815" t="s">
        <v>77</v>
      </c>
    </row>
    <row r="816" spans="1:15" x14ac:dyDescent="0.25">
      <c r="A816">
        <v>18664</v>
      </c>
      <c r="B816" t="s">
        <v>22</v>
      </c>
      <c r="C816" t="s">
        <v>39</v>
      </c>
      <c r="D816" t="s">
        <v>42</v>
      </c>
      <c r="E816" t="s">
        <v>51</v>
      </c>
      <c r="F816" t="s">
        <v>52</v>
      </c>
      <c r="G816" s="1">
        <v>45561</v>
      </c>
      <c r="H816" t="s">
        <v>56</v>
      </c>
      <c r="I816" s="2" t="s">
        <v>125</v>
      </c>
      <c r="J816" s="2" t="s">
        <v>126</v>
      </c>
      <c r="K816">
        <v>25000</v>
      </c>
      <c r="L816">
        <v>85000</v>
      </c>
      <c r="M816" t="str">
        <f>IFERROR(INDEX($M$2:$M$1132,MATCH(B816,$B$2:$B$1132,0)),"")</f>
        <v>GOOGLE ANALYTICS, SEO, SOCIAL MEDIA ANALYTICS, EXCEL</v>
      </c>
      <c r="N816" t="s">
        <v>74</v>
      </c>
      <c r="O816" t="s">
        <v>77</v>
      </c>
    </row>
    <row r="817" spans="1:15" x14ac:dyDescent="0.25">
      <c r="A817">
        <v>18665</v>
      </c>
      <c r="B817" t="s">
        <v>22</v>
      </c>
      <c r="C817" t="s">
        <v>23</v>
      </c>
      <c r="D817" t="str">
        <f>IFERROR(INDEX(Sheet2!$B$2:$B$1132,MATCH(Sheet1!C817,Sheet1!$C$2:$C$1132,0)),"IDK")</f>
        <v>IT</v>
      </c>
      <c r="E817" t="s">
        <v>51</v>
      </c>
      <c r="F817" t="s">
        <v>52</v>
      </c>
      <c r="G817" s="1">
        <v>45293</v>
      </c>
      <c r="H817" t="s">
        <v>56</v>
      </c>
      <c r="I817" s="2" t="s">
        <v>127</v>
      </c>
      <c r="J817" s="2" t="s">
        <v>128</v>
      </c>
      <c r="K817">
        <f>IFERROR(INDEX(Sheet2!$C$2:$C$1132,MATCH(Sheet1!C817,Sheet1!$C$2:$C$1132,0)),"")</f>
        <v>35000</v>
      </c>
      <c r="L817">
        <f>IFERROR(INDEX(Sheet2!$D$2:$D$1132,MATCH(Sheet1!C817,$C$2:$C$1132,0)),"")</f>
        <v>70000</v>
      </c>
      <c r="M817" t="str">
        <f>IFERROR(INDEX($M$2:$M$1132,MATCH(B817,$B$2:$B$1132,0)),"")</f>
        <v>GOOGLE ANALYTICS, SEO, SOCIAL MEDIA ANALYTICS, EXCEL</v>
      </c>
      <c r="N817" t="s">
        <v>74</v>
      </c>
      <c r="O817" t="s">
        <v>77</v>
      </c>
    </row>
    <row r="818" spans="1:15" x14ac:dyDescent="0.25">
      <c r="A818">
        <v>18666</v>
      </c>
      <c r="B818" t="s">
        <v>22</v>
      </c>
      <c r="C818" t="s">
        <v>30</v>
      </c>
      <c r="D818" t="str">
        <f>IFERROR(INDEX(Sheet2!$B$2:$B$1132,MATCH(Sheet1!C818,Sheet1!$C$2:$C$1132,0)),"IDK")</f>
        <v>IT</v>
      </c>
      <c r="E818" t="s">
        <v>51</v>
      </c>
      <c r="F818" t="s">
        <v>52</v>
      </c>
      <c r="G818" s="1">
        <v>45441</v>
      </c>
      <c r="H818" t="s">
        <v>56</v>
      </c>
      <c r="I818" s="2" t="s">
        <v>106</v>
      </c>
      <c r="J818" s="2" t="s">
        <v>107</v>
      </c>
      <c r="K818">
        <f>IFERROR(INDEX(Sheet2!$C$2:$C$1132,MATCH(Sheet1!C818,Sheet1!$C$2:$C$1132,0)),"")</f>
        <v>25000</v>
      </c>
      <c r="L818">
        <f>IFERROR(INDEX(Sheet2!$D$2:$D$1132,MATCH(Sheet1!C818,$C$2:$C$1132,0)),"")</f>
        <v>60000</v>
      </c>
      <c r="M818" t="str">
        <f>IFERROR(INDEX($M$2:$M$1132,MATCH(B818,$B$2:$B$1132,0)),"")</f>
        <v>GOOGLE ANALYTICS, SEO, SOCIAL MEDIA ANALYTICS, EXCEL</v>
      </c>
      <c r="N818" t="s">
        <v>74</v>
      </c>
      <c r="O818" t="s">
        <v>77</v>
      </c>
    </row>
    <row r="819" spans="1:15" x14ac:dyDescent="0.25">
      <c r="A819">
        <v>18667</v>
      </c>
      <c r="B819" t="s">
        <v>22</v>
      </c>
      <c r="C819" t="s">
        <v>31</v>
      </c>
      <c r="D819" t="str">
        <f>IFERROR(INDEX(Sheet2!$B$2:$B$1132,MATCH(Sheet1!C819,Sheet1!$C$2:$C$1132,0)),"IDK")</f>
        <v>IT</v>
      </c>
      <c r="E819" t="s">
        <v>51</v>
      </c>
      <c r="F819" t="s">
        <v>52</v>
      </c>
      <c r="G819" s="1">
        <v>45455</v>
      </c>
      <c r="H819" t="s">
        <v>56</v>
      </c>
      <c r="I819" s="2" t="s">
        <v>106</v>
      </c>
      <c r="J819" s="2" t="s">
        <v>108</v>
      </c>
      <c r="K819">
        <f>IFERROR(INDEX(Sheet2!$C$2:$C$1132,MATCH(Sheet1!C819,Sheet1!$C$2:$C$1132,0)),"")</f>
        <v>25000</v>
      </c>
      <c r="L819">
        <f>IFERROR(INDEX(Sheet2!$D$2:$D$1132,MATCH(Sheet1!C819,$C$2:$C$1132,0)),"")</f>
        <v>75000</v>
      </c>
      <c r="M819" t="str">
        <f>IFERROR(INDEX($M$2:$M$1132,MATCH(B819,$B$2:$B$1132,0)),"")</f>
        <v>GOOGLE ANALYTICS, SEO, SOCIAL MEDIA ANALYTICS, EXCEL</v>
      </c>
      <c r="N819" t="s">
        <v>74</v>
      </c>
      <c r="O819" t="s">
        <v>77</v>
      </c>
    </row>
    <row r="820" spans="1:15" x14ac:dyDescent="0.25">
      <c r="A820">
        <v>18668</v>
      </c>
      <c r="B820" t="s">
        <v>22</v>
      </c>
      <c r="C820" t="s">
        <v>32</v>
      </c>
      <c r="D820" t="str">
        <f>IFERROR(INDEX(Sheet2!$B$2:$B$1132,MATCH(Sheet1!C820,Sheet1!$C$2:$C$1132,0)),"IDK")</f>
        <v>SOCIAL</v>
      </c>
      <c r="E820" t="s">
        <v>51</v>
      </c>
      <c r="F820" t="s">
        <v>52</v>
      </c>
      <c r="G820" s="1">
        <v>45558</v>
      </c>
      <c r="H820" t="s">
        <v>56</v>
      </c>
      <c r="I820" s="2" t="s">
        <v>109</v>
      </c>
      <c r="J820" s="2" t="s">
        <v>110</v>
      </c>
      <c r="K820">
        <f>IFERROR(INDEX(Sheet2!$C$2:$C$1132,MATCH(Sheet1!C820,Sheet1!$C$2:$C$1132,0)),"")</f>
        <v>20000</v>
      </c>
      <c r="L820">
        <f>IFERROR(INDEX(Sheet2!$D$2:$D$1132,MATCH(Sheet1!C820,$C$2:$C$1132,0)),"")</f>
        <v>70000</v>
      </c>
      <c r="M820" t="str">
        <f>IFERROR(INDEX($M$2:$M$1132,MATCH(B820,$B$2:$B$1132,0)),"")</f>
        <v>GOOGLE ANALYTICS, SEO, SOCIAL MEDIA ANALYTICS, EXCEL</v>
      </c>
      <c r="N820" t="s">
        <v>74</v>
      </c>
      <c r="O820" t="s">
        <v>77</v>
      </c>
    </row>
    <row r="821" spans="1:15" x14ac:dyDescent="0.25">
      <c r="A821">
        <v>18669</v>
      </c>
      <c r="B821" t="s">
        <v>22</v>
      </c>
      <c r="C821" t="s">
        <v>33</v>
      </c>
      <c r="D821" t="str">
        <f>IFERROR(INDEX(Sheet2!$B$2:$B$1132,MATCH(Sheet1!C821,Sheet1!$C$2:$C$1132,0)),"IDK")</f>
        <v>FINANCE</v>
      </c>
      <c r="E821" t="s">
        <v>51</v>
      </c>
      <c r="F821" t="s">
        <v>52</v>
      </c>
      <c r="G821" s="1">
        <v>45509</v>
      </c>
      <c r="H821" t="s">
        <v>56</v>
      </c>
      <c r="I821" s="2" t="s">
        <v>109</v>
      </c>
      <c r="J821" s="2" t="s">
        <v>111</v>
      </c>
      <c r="K821">
        <f>IFERROR(INDEX(Sheet2!$C$2:$C$1132,MATCH(Sheet1!C821,Sheet1!$C$2:$C$1132,0)),"")</f>
        <v>40000</v>
      </c>
      <c r="L821">
        <f>IFERROR(INDEX(Sheet2!$D$2:$D$1132,MATCH(Sheet1!C821,$C$2:$C$1132,0)),"")</f>
        <v>85000</v>
      </c>
      <c r="M821" t="str">
        <f>IFERROR(INDEX($M$2:$M$1132,MATCH(B821,$B$2:$B$1132,0)),"")</f>
        <v>GOOGLE ANALYTICS, SEO, SOCIAL MEDIA ANALYTICS, EXCEL</v>
      </c>
      <c r="N821" t="s">
        <v>74</v>
      </c>
      <c r="O821" t="s">
        <v>77</v>
      </c>
    </row>
    <row r="822" spans="1:15" x14ac:dyDescent="0.25">
      <c r="A822">
        <v>18670</v>
      </c>
      <c r="B822" t="s">
        <v>22</v>
      </c>
      <c r="C822" t="s">
        <v>23</v>
      </c>
      <c r="D822" t="str">
        <f>IFERROR(INDEX(Sheet2!$B$2:$B$1132,MATCH(Sheet1!C822,Sheet1!$C$2:$C$1132,0)),"IDK")</f>
        <v>IT</v>
      </c>
      <c r="E822" t="s">
        <v>51</v>
      </c>
      <c r="F822" t="s">
        <v>52</v>
      </c>
      <c r="G822" s="1">
        <v>45420</v>
      </c>
      <c r="H822" t="s">
        <v>56</v>
      </c>
      <c r="I822" s="2" t="s">
        <v>112</v>
      </c>
      <c r="J822" s="2" t="s">
        <v>113</v>
      </c>
      <c r="K822">
        <f>IFERROR(INDEX(Sheet2!$C$2:$C$1132,MATCH(Sheet1!C822,Sheet1!$C$2:$C$1132,0)),"")</f>
        <v>35000</v>
      </c>
      <c r="L822">
        <f>IFERROR(INDEX(Sheet2!$D$2:$D$1132,MATCH(Sheet1!C822,$C$2:$C$1132,0)),"")</f>
        <v>70000</v>
      </c>
      <c r="M822" t="str">
        <f>IFERROR(INDEX($M$2:$M$1132,MATCH(B822,$B$2:$B$1132,0)),"")</f>
        <v>GOOGLE ANALYTICS, SEO, SOCIAL MEDIA ANALYTICS, EXCEL</v>
      </c>
      <c r="N822" t="s">
        <v>74</v>
      </c>
      <c r="O822" t="s">
        <v>77</v>
      </c>
    </row>
    <row r="823" spans="1:15" x14ac:dyDescent="0.25">
      <c r="A823">
        <v>18671</v>
      </c>
      <c r="B823" t="s">
        <v>22</v>
      </c>
      <c r="C823" t="s">
        <v>24</v>
      </c>
      <c r="D823" t="str">
        <f>IFERROR(INDEX(Sheet2!$B$2:$B$1132,MATCH(Sheet1!C823,Sheet1!$C$2:$C$1132,0)),"IDK")</f>
        <v>HEALTH</v>
      </c>
      <c r="E823" t="s">
        <v>51</v>
      </c>
      <c r="F823" t="s">
        <v>52</v>
      </c>
      <c r="G823" s="1">
        <v>45555</v>
      </c>
      <c r="H823" t="s">
        <v>56</v>
      </c>
      <c r="I823" s="2" t="s">
        <v>114</v>
      </c>
      <c r="J823" s="2" t="s">
        <v>115</v>
      </c>
      <c r="K823">
        <f>IFERROR(INDEX(Sheet2!$C$2:$C$1132,MATCH(Sheet1!C823,Sheet1!$C$2:$C$1132,0)),"")</f>
        <v>25000</v>
      </c>
      <c r="L823">
        <f>IFERROR(INDEX(Sheet2!$D$2:$D$1132,MATCH(Sheet1!C823,$C$2:$C$1132,0)),"")</f>
        <v>50000</v>
      </c>
      <c r="M823" t="str">
        <f>IFERROR(INDEX($M$2:$M$1132,MATCH(B823,$B$2:$B$1132,0)),"")</f>
        <v>GOOGLE ANALYTICS, SEO, SOCIAL MEDIA ANALYTICS, EXCEL</v>
      </c>
      <c r="N823" t="s">
        <v>74</v>
      </c>
      <c r="O823" t="s">
        <v>77</v>
      </c>
    </row>
    <row r="824" spans="1:15" x14ac:dyDescent="0.25">
      <c r="A824">
        <v>18672</v>
      </c>
      <c r="B824" t="s">
        <v>22</v>
      </c>
      <c r="C824" t="s">
        <v>25</v>
      </c>
      <c r="D824" t="str">
        <f>IFERROR(INDEX(Sheet2!$B$2:$B$1132,MATCH(Sheet1!C824,Sheet1!$C$2:$C$1132,0)),"IDK")</f>
        <v>SOCIAL</v>
      </c>
      <c r="E824" t="s">
        <v>51</v>
      </c>
      <c r="F824" t="s">
        <v>54</v>
      </c>
      <c r="G824" s="1">
        <v>45560</v>
      </c>
      <c r="H824" t="s">
        <v>56</v>
      </c>
      <c r="I824" s="2" t="s">
        <v>116</v>
      </c>
      <c r="J824" s="2" t="s">
        <v>117</v>
      </c>
      <c r="K824">
        <f>IFERROR(INDEX(Sheet2!$C$2:$C$1132,MATCH(Sheet1!C824,Sheet1!$C$2:$C$1132,0)),"")</f>
        <v>30000</v>
      </c>
      <c r="L824">
        <f>IFERROR(INDEX(Sheet2!$D$2:$D$1132,MATCH(Sheet1!C824,$C$2:$C$1132,0)),"")</f>
        <v>60000</v>
      </c>
      <c r="M824" t="str">
        <f>IFERROR(INDEX($M$2:$M$1132,MATCH(B824,$B$2:$B$1132,0)),"")</f>
        <v>GOOGLE ANALYTICS, SEO, SOCIAL MEDIA ANALYTICS, EXCEL</v>
      </c>
      <c r="N824" t="s">
        <v>74</v>
      </c>
      <c r="O824" t="s">
        <v>77</v>
      </c>
    </row>
    <row r="825" spans="1:15" x14ac:dyDescent="0.25">
      <c r="A825">
        <v>18673</v>
      </c>
      <c r="B825" t="s">
        <v>22</v>
      </c>
      <c r="C825" t="s">
        <v>26</v>
      </c>
      <c r="D825" t="str">
        <f>IFERROR(INDEX(Sheet2!$B$2:$B$1132,MATCH(Sheet1!C825,Sheet1!$C$2:$C$1132,0)),"IDK")</f>
        <v>FINANCE</v>
      </c>
      <c r="E825" t="s">
        <v>51</v>
      </c>
      <c r="F825" t="s">
        <v>54</v>
      </c>
      <c r="G825" s="1">
        <v>45504</v>
      </c>
      <c r="H825" t="s">
        <v>56</v>
      </c>
      <c r="I825" s="2" t="s">
        <v>118</v>
      </c>
      <c r="J825" s="2" t="s">
        <v>119</v>
      </c>
      <c r="K825">
        <f>IFERROR(INDEX(Sheet2!$C$2:$C$1132,MATCH(Sheet1!C825,Sheet1!$C$2:$C$1132,0)),"")</f>
        <v>35000</v>
      </c>
      <c r="L825">
        <f>IFERROR(INDEX(Sheet2!$D$2:$D$1132,MATCH(Sheet1!C825,$C$2:$C$1132,0)),"")</f>
        <v>75000</v>
      </c>
      <c r="M825" t="str">
        <f>IFERROR(INDEX($M$2:$M$1132,MATCH(B825,$B$2:$B$1132,0)),"")</f>
        <v>GOOGLE ANALYTICS, SEO, SOCIAL MEDIA ANALYTICS, EXCEL</v>
      </c>
      <c r="N825" t="s">
        <v>74</v>
      </c>
      <c r="O825" t="s">
        <v>77</v>
      </c>
    </row>
    <row r="826" spans="1:15" x14ac:dyDescent="0.25">
      <c r="A826">
        <v>18674</v>
      </c>
      <c r="B826" t="s">
        <v>22</v>
      </c>
      <c r="C826" t="s">
        <v>27</v>
      </c>
      <c r="D826" t="str">
        <f>IFERROR(INDEX(Sheet2!$B$2:$B$1132,MATCH(Sheet1!C826,Sheet1!$C$2:$C$1132,0)),"IDK")</f>
        <v>IT</v>
      </c>
      <c r="E826" t="s">
        <v>51</v>
      </c>
      <c r="F826" t="s">
        <v>54</v>
      </c>
      <c r="G826" s="1">
        <v>45622</v>
      </c>
      <c r="H826" t="s">
        <v>56</v>
      </c>
      <c r="I826" s="2" t="s">
        <v>118</v>
      </c>
      <c r="J826" s="2" t="s">
        <v>120</v>
      </c>
      <c r="K826">
        <f>IFERROR(INDEX(Sheet2!$C$2:$C$1132,MATCH(Sheet1!C826,Sheet1!$C$2:$C$1132,0)),"")</f>
        <v>40000</v>
      </c>
      <c r="L826">
        <f>IFERROR(INDEX(Sheet2!$D$2:$D$1132,MATCH(Sheet1!C826,$C$2:$C$1132,0)),"")</f>
        <v>80000</v>
      </c>
      <c r="M826" t="str">
        <f>IFERROR(INDEX($M$2:$M$1132,MATCH(B826,$B$2:$B$1132,0)),"")</f>
        <v>GOOGLE ANALYTICS, SEO, SOCIAL MEDIA ANALYTICS, EXCEL</v>
      </c>
      <c r="N826" t="s">
        <v>74</v>
      </c>
      <c r="O826" t="s">
        <v>77</v>
      </c>
    </row>
    <row r="827" spans="1:15" x14ac:dyDescent="0.25">
      <c r="A827">
        <v>18675</v>
      </c>
      <c r="B827" t="s">
        <v>22</v>
      </c>
      <c r="C827" t="s">
        <v>28</v>
      </c>
      <c r="D827" t="str">
        <f>IFERROR(INDEX(Sheet2!$B$2:$B$1132,MATCH(Sheet1!C827,Sheet1!$C$2:$C$1132,0)),"IDK")</f>
        <v>IT</v>
      </c>
      <c r="E827" t="s">
        <v>51</v>
      </c>
      <c r="F827" t="s">
        <v>54</v>
      </c>
      <c r="G827" s="1">
        <v>45367</v>
      </c>
      <c r="H827" t="s">
        <v>56</v>
      </c>
      <c r="I827" s="2" t="s">
        <v>121</v>
      </c>
      <c r="J827" s="2" t="s">
        <v>122</v>
      </c>
      <c r="K827">
        <f>IFERROR(INDEX(Sheet2!$C$2:$C$1132,MATCH(Sheet1!C827,Sheet1!$C$2:$C$1132,0)),"")</f>
        <v>30000</v>
      </c>
      <c r="L827">
        <f>IFERROR(INDEX(Sheet2!$D$2:$D$1132,MATCH(Sheet1!C827,$C$2:$C$1132,0)),"")</f>
        <v>55000</v>
      </c>
      <c r="M827" t="str">
        <f>IFERROR(INDEX($M$2:$M$1132,MATCH(B827,$B$2:$B$1132,0)),"")</f>
        <v>GOOGLE ANALYTICS, SEO, SOCIAL MEDIA ANALYTICS, EXCEL</v>
      </c>
      <c r="N827" t="s">
        <v>74</v>
      </c>
      <c r="O827" t="s">
        <v>77</v>
      </c>
    </row>
    <row r="828" spans="1:15" x14ac:dyDescent="0.25">
      <c r="A828">
        <v>18676</v>
      </c>
      <c r="B828" t="s">
        <v>22</v>
      </c>
      <c r="C828" t="s">
        <v>29</v>
      </c>
      <c r="D828" t="str">
        <f>IFERROR(INDEX(Sheet2!$B$2:$B$1132,MATCH(Sheet1!C828,Sheet1!$C$2:$C$1132,0)),"IDK")</f>
        <v>IT</v>
      </c>
      <c r="E828" t="s">
        <v>51</v>
      </c>
      <c r="F828" t="s">
        <v>54</v>
      </c>
      <c r="G828" s="1">
        <v>45477</v>
      </c>
      <c r="H828" t="s">
        <v>56</v>
      </c>
      <c r="I828" s="2" t="s">
        <v>123</v>
      </c>
      <c r="J828" s="2" t="s">
        <v>124</v>
      </c>
      <c r="K828">
        <f>IFERROR(INDEX(Sheet2!$C$2:$C$1132,MATCH(Sheet1!C828,Sheet1!$C$2:$C$1132,0)),"")</f>
        <v>35000</v>
      </c>
      <c r="L828">
        <f>IFERROR(INDEX(Sheet2!$D$2:$D$1132,MATCH(Sheet1!C828,$C$2:$C$1132,0)),"")</f>
        <v>70000</v>
      </c>
      <c r="M828" t="str">
        <f>IFERROR(INDEX($M$2:$M$1132,MATCH(B828,$B$2:$B$1132,0)),"")</f>
        <v>GOOGLE ANALYTICS, SEO, SOCIAL MEDIA ANALYTICS, EXCEL</v>
      </c>
      <c r="N828" t="s">
        <v>74</v>
      </c>
      <c r="O828" t="s">
        <v>77</v>
      </c>
    </row>
    <row r="829" spans="1:15" x14ac:dyDescent="0.25">
      <c r="A829">
        <v>18677</v>
      </c>
      <c r="B829" t="s">
        <v>22</v>
      </c>
      <c r="C829" t="s">
        <v>23</v>
      </c>
      <c r="D829" t="str">
        <f>IFERROR(INDEX(Sheet2!$B$2:$B$1132,MATCH(Sheet1!C829,Sheet1!$C$2:$C$1132,0)),"IDK")</f>
        <v>IT</v>
      </c>
      <c r="E829" t="s">
        <v>51</v>
      </c>
      <c r="F829" t="s">
        <v>54</v>
      </c>
      <c r="G829" s="1">
        <v>45524</v>
      </c>
      <c r="H829" t="s">
        <v>56</v>
      </c>
      <c r="I829" s="2" t="s">
        <v>125</v>
      </c>
      <c r="J829" s="2" t="s">
        <v>126</v>
      </c>
      <c r="K829">
        <f>IFERROR(INDEX(Sheet2!$C$2:$C$1132,MATCH(Sheet1!C829,Sheet1!$C$2:$C$1132,0)),"")</f>
        <v>35000</v>
      </c>
      <c r="L829">
        <f>IFERROR(INDEX(Sheet2!$D$2:$D$1132,MATCH(Sheet1!C829,$C$2:$C$1132,0)),"")</f>
        <v>70000</v>
      </c>
      <c r="M829" t="str">
        <f>IFERROR(INDEX($M$2:$M$1132,MATCH(B829,$B$2:$B$1132,0)),"")</f>
        <v>GOOGLE ANALYTICS, SEO, SOCIAL MEDIA ANALYTICS, EXCEL</v>
      </c>
      <c r="N829" t="s">
        <v>74</v>
      </c>
      <c r="O829" t="s">
        <v>77</v>
      </c>
    </row>
    <row r="830" spans="1:15" x14ac:dyDescent="0.25">
      <c r="A830">
        <v>18678</v>
      </c>
      <c r="B830" t="s">
        <v>22</v>
      </c>
      <c r="C830" t="s">
        <v>30</v>
      </c>
      <c r="D830" t="str">
        <f>IFERROR(INDEX(Sheet2!$B$2:$B$1132,MATCH(Sheet1!C830,Sheet1!$C$2:$C$1132,0)),"IDK")</f>
        <v>IT</v>
      </c>
      <c r="E830" t="s">
        <v>51</v>
      </c>
      <c r="F830" t="s">
        <v>54</v>
      </c>
      <c r="G830" s="1">
        <v>45427</v>
      </c>
      <c r="H830" t="s">
        <v>56</v>
      </c>
      <c r="I830" s="2" t="s">
        <v>127</v>
      </c>
      <c r="J830" s="2" t="s">
        <v>128</v>
      </c>
      <c r="K830">
        <f>IFERROR(INDEX(Sheet2!$C$2:$C$1132,MATCH(Sheet1!C830,Sheet1!$C$2:$C$1132,0)),"")</f>
        <v>25000</v>
      </c>
      <c r="L830">
        <f>IFERROR(INDEX(Sheet2!$D$2:$D$1132,MATCH(Sheet1!C830,$C$2:$C$1132,0)),"")</f>
        <v>60000</v>
      </c>
      <c r="M830" t="str">
        <f>IFERROR(INDEX($M$2:$M$1132,MATCH(B830,$B$2:$B$1132,0)),"")</f>
        <v>GOOGLE ANALYTICS, SEO, SOCIAL MEDIA ANALYTICS, EXCEL</v>
      </c>
      <c r="N830" t="s">
        <v>74</v>
      </c>
      <c r="O830" t="s">
        <v>77</v>
      </c>
    </row>
    <row r="831" spans="1:15" x14ac:dyDescent="0.25">
      <c r="A831">
        <v>18679</v>
      </c>
      <c r="B831" t="s">
        <v>22</v>
      </c>
      <c r="C831" t="s">
        <v>31</v>
      </c>
      <c r="D831" t="str">
        <f>IFERROR(INDEX(Sheet2!$B$2:$B$1132,MATCH(Sheet1!C831,Sheet1!$C$2:$C$1132,0)),"IDK")</f>
        <v>IT</v>
      </c>
      <c r="E831" t="s">
        <v>51</v>
      </c>
      <c r="F831" t="s">
        <v>54</v>
      </c>
      <c r="G831" s="1">
        <v>45364</v>
      </c>
      <c r="H831" t="s">
        <v>56</v>
      </c>
      <c r="I831" s="2" t="s">
        <v>106</v>
      </c>
      <c r="J831" s="2" t="s">
        <v>107</v>
      </c>
      <c r="K831">
        <f>IFERROR(INDEX(Sheet2!$C$2:$C$1132,MATCH(Sheet1!C831,Sheet1!$C$2:$C$1132,0)),"")</f>
        <v>25000</v>
      </c>
      <c r="L831">
        <f>IFERROR(INDEX(Sheet2!$D$2:$D$1132,MATCH(Sheet1!C831,$C$2:$C$1132,0)),"")</f>
        <v>75000</v>
      </c>
      <c r="M831" t="str">
        <f>IFERROR(INDEX($M$2:$M$1132,MATCH(B831,$B$2:$B$1132,0)),"")</f>
        <v>GOOGLE ANALYTICS, SEO, SOCIAL MEDIA ANALYTICS, EXCEL</v>
      </c>
      <c r="N831" t="s">
        <v>74</v>
      </c>
      <c r="O831" t="s">
        <v>77</v>
      </c>
    </row>
    <row r="832" spans="1:15" x14ac:dyDescent="0.25">
      <c r="A832">
        <v>18680</v>
      </c>
      <c r="B832" t="s">
        <v>22</v>
      </c>
      <c r="C832" t="s">
        <v>32</v>
      </c>
      <c r="D832" t="str">
        <f>IFERROR(INDEX(Sheet2!$B$2:$B$1132,MATCH(Sheet1!C832,Sheet1!$C$2:$C$1132,0)),"IDK")</f>
        <v>SOCIAL</v>
      </c>
      <c r="E832" t="s">
        <v>51</v>
      </c>
      <c r="F832" t="s">
        <v>54</v>
      </c>
      <c r="G832" s="1">
        <v>45412</v>
      </c>
      <c r="H832" t="s">
        <v>56</v>
      </c>
      <c r="I832" s="2" t="s">
        <v>106</v>
      </c>
      <c r="J832" s="2" t="s">
        <v>108</v>
      </c>
      <c r="K832">
        <f>IFERROR(INDEX(Sheet2!$C$2:$C$1132,MATCH(Sheet1!C832,Sheet1!$C$2:$C$1132,0)),"")</f>
        <v>20000</v>
      </c>
      <c r="L832">
        <f>IFERROR(INDEX(Sheet2!$D$2:$D$1132,MATCH(Sheet1!C832,$C$2:$C$1132,0)),"")</f>
        <v>70000</v>
      </c>
      <c r="M832" t="str">
        <f>IFERROR(INDEX($M$2:$M$1132,MATCH(B832,$B$2:$B$1132,0)),"")</f>
        <v>GOOGLE ANALYTICS, SEO, SOCIAL MEDIA ANALYTICS, EXCEL</v>
      </c>
      <c r="N832" t="s">
        <v>74</v>
      </c>
      <c r="O832" t="s">
        <v>77</v>
      </c>
    </row>
    <row r="833" spans="1:15" x14ac:dyDescent="0.25">
      <c r="A833">
        <v>18681</v>
      </c>
      <c r="B833" t="s">
        <v>22</v>
      </c>
      <c r="C833" t="s">
        <v>33</v>
      </c>
      <c r="D833" t="str">
        <f>IFERROR(INDEX(Sheet2!$B$2:$B$1132,MATCH(Sheet1!C833,Sheet1!$C$2:$C$1132,0)),"IDK")</f>
        <v>FINANCE</v>
      </c>
      <c r="E833" t="s">
        <v>51</v>
      </c>
      <c r="F833" t="s">
        <v>54</v>
      </c>
      <c r="G833" s="1">
        <v>45599</v>
      </c>
      <c r="H833" t="s">
        <v>56</v>
      </c>
      <c r="I833" s="2" t="s">
        <v>109</v>
      </c>
      <c r="J833" s="2" t="s">
        <v>110</v>
      </c>
      <c r="K833">
        <f>IFERROR(INDEX(Sheet2!$C$2:$C$1132,MATCH(Sheet1!C833,Sheet1!$C$2:$C$1132,0)),"")</f>
        <v>40000</v>
      </c>
      <c r="L833">
        <f>IFERROR(INDEX(Sheet2!$D$2:$D$1132,MATCH(Sheet1!C833,$C$2:$C$1132,0)),"")</f>
        <v>85000</v>
      </c>
      <c r="M833" t="str">
        <f>IFERROR(INDEX($M$2:$M$1132,MATCH(B833,$B$2:$B$1132,0)),"")</f>
        <v>GOOGLE ANALYTICS, SEO, SOCIAL MEDIA ANALYTICS, EXCEL</v>
      </c>
      <c r="N833" t="s">
        <v>74</v>
      </c>
      <c r="O833" t="s">
        <v>77</v>
      </c>
    </row>
    <row r="834" spans="1:15" x14ac:dyDescent="0.25">
      <c r="A834">
        <v>18682</v>
      </c>
      <c r="B834" t="s">
        <v>22</v>
      </c>
      <c r="C834" t="s">
        <v>24</v>
      </c>
      <c r="D834" t="str">
        <f>IFERROR(INDEX(Sheet2!$B$2:$B$1132,MATCH(Sheet1!C834,Sheet1!$C$2:$C$1132,0)),"IDK")</f>
        <v>HEALTH</v>
      </c>
      <c r="E834" t="s">
        <v>51</v>
      </c>
      <c r="F834" t="s">
        <v>54</v>
      </c>
      <c r="G834" s="1">
        <v>45548</v>
      </c>
      <c r="H834" t="s">
        <v>56</v>
      </c>
      <c r="I834" s="2" t="s">
        <v>109</v>
      </c>
      <c r="J834" s="2" t="s">
        <v>111</v>
      </c>
      <c r="K834">
        <f>IFERROR(INDEX(Sheet2!$C$2:$C$1132,MATCH(Sheet1!C834,Sheet1!$C$2:$C$1132,0)),"")</f>
        <v>25000</v>
      </c>
      <c r="L834">
        <f>IFERROR(INDEX(Sheet2!$D$2:$D$1132,MATCH(Sheet1!C834,$C$2:$C$1132,0)),"")</f>
        <v>50000</v>
      </c>
      <c r="M834" t="str">
        <f>IFERROR(INDEX($M$2:$M$1132,MATCH(B834,$B$2:$B$1132,0)),"")</f>
        <v>GOOGLE ANALYTICS, SEO, SOCIAL MEDIA ANALYTICS, EXCEL</v>
      </c>
      <c r="N834" t="s">
        <v>74</v>
      </c>
      <c r="O834" t="s">
        <v>77</v>
      </c>
    </row>
    <row r="835" spans="1:15" x14ac:dyDescent="0.25">
      <c r="A835">
        <v>18683</v>
      </c>
      <c r="B835" t="s">
        <v>22</v>
      </c>
      <c r="C835" t="s">
        <v>25</v>
      </c>
      <c r="D835" t="str">
        <f>IFERROR(INDEX(Sheet2!$B$2:$B$1132,MATCH(Sheet1!C835,Sheet1!$C$2:$C$1132,0)),"IDK")</f>
        <v>SOCIAL</v>
      </c>
      <c r="E835" t="s">
        <v>51</v>
      </c>
      <c r="F835" t="s">
        <v>54</v>
      </c>
      <c r="G835" s="1">
        <v>45426</v>
      </c>
      <c r="H835" t="s">
        <v>56</v>
      </c>
      <c r="I835" s="2" t="s">
        <v>109</v>
      </c>
      <c r="J835" s="2" t="s">
        <v>110</v>
      </c>
      <c r="K835">
        <f>IFERROR(INDEX(Sheet2!$C$2:$C$1132,MATCH(Sheet1!C835,Sheet1!$C$2:$C$1132,0)),"")</f>
        <v>30000</v>
      </c>
      <c r="L835">
        <f>IFERROR(INDEX(Sheet2!$D$2:$D$1132,MATCH(Sheet1!C835,$C$2:$C$1132,0)),"")</f>
        <v>60000</v>
      </c>
      <c r="M835" t="str">
        <f>IFERROR(INDEX($M$2:$M$1132,MATCH(B835,$B$2:$B$1132,0)),"")</f>
        <v>GOOGLE ANALYTICS, SEO, SOCIAL MEDIA ANALYTICS, EXCEL</v>
      </c>
      <c r="N835" t="s">
        <v>74</v>
      </c>
      <c r="O835" t="s">
        <v>77</v>
      </c>
    </row>
    <row r="836" spans="1:15" x14ac:dyDescent="0.25">
      <c r="A836">
        <v>18684</v>
      </c>
      <c r="B836" t="s">
        <v>22</v>
      </c>
      <c r="C836" t="s">
        <v>26</v>
      </c>
      <c r="D836" t="str">
        <f>IFERROR(INDEX(Sheet2!$B$2:$B$1132,MATCH(Sheet1!C836,Sheet1!$C$2:$C$1132,0)),"IDK")</f>
        <v>FINANCE</v>
      </c>
      <c r="E836" t="s">
        <v>51</v>
      </c>
      <c r="F836" t="s">
        <v>54</v>
      </c>
      <c r="G836" s="1">
        <v>45391</v>
      </c>
      <c r="H836" t="s">
        <v>56</v>
      </c>
      <c r="I836" s="2" t="s">
        <v>109</v>
      </c>
      <c r="J836" s="2" t="s">
        <v>111</v>
      </c>
      <c r="K836">
        <f>IFERROR(INDEX(Sheet2!$C$2:$C$1132,MATCH(Sheet1!C836,Sheet1!$C$2:$C$1132,0)),"")</f>
        <v>35000</v>
      </c>
      <c r="L836">
        <f>IFERROR(INDEX(Sheet2!$D$2:$D$1132,MATCH(Sheet1!C836,$C$2:$C$1132,0)),"")</f>
        <v>75000</v>
      </c>
      <c r="M836" t="str">
        <f>IFERROR(INDEX($M$2:$M$1132,MATCH(B836,$B$2:$B$1132,0)),"")</f>
        <v>GOOGLE ANALYTICS, SEO, SOCIAL MEDIA ANALYTICS, EXCEL</v>
      </c>
      <c r="N836" t="s">
        <v>74</v>
      </c>
      <c r="O836" t="s">
        <v>77</v>
      </c>
    </row>
    <row r="837" spans="1:15" x14ac:dyDescent="0.25">
      <c r="A837">
        <v>18685</v>
      </c>
      <c r="B837" t="s">
        <v>22</v>
      </c>
      <c r="C837" t="s">
        <v>27</v>
      </c>
      <c r="D837" t="str">
        <f>IFERROR(INDEX(Sheet2!$B$2:$B$1132,MATCH(Sheet1!C837,Sheet1!$C$2:$C$1132,0)),"IDK")</f>
        <v>IT</v>
      </c>
      <c r="E837" t="s">
        <v>51</v>
      </c>
      <c r="F837" t="s">
        <v>54</v>
      </c>
      <c r="G837" s="1">
        <v>45651</v>
      </c>
      <c r="H837" t="s">
        <v>56</v>
      </c>
      <c r="I837" s="2" t="s">
        <v>112</v>
      </c>
      <c r="J837" s="2" t="s">
        <v>113</v>
      </c>
      <c r="K837">
        <f>IFERROR(INDEX(Sheet2!$C$2:$C$1132,MATCH(Sheet1!C837,Sheet1!$C$2:$C$1132,0)),"")</f>
        <v>40000</v>
      </c>
      <c r="L837">
        <f>IFERROR(INDEX(Sheet2!$D$2:$D$1132,MATCH(Sheet1!C837,$C$2:$C$1132,0)),"")</f>
        <v>80000</v>
      </c>
      <c r="M837" t="str">
        <f>IFERROR(INDEX($M$2:$M$1132,MATCH(B837,$B$2:$B$1132,0)),"")</f>
        <v>GOOGLE ANALYTICS, SEO, SOCIAL MEDIA ANALYTICS, EXCEL</v>
      </c>
      <c r="N837" t="s">
        <v>74</v>
      </c>
      <c r="O837" t="s">
        <v>77</v>
      </c>
    </row>
    <row r="838" spans="1:15" x14ac:dyDescent="0.25">
      <c r="A838">
        <v>18686</v>
      </c>
      <c r="B838" t="s">
        <v>22</v>
      </c>
      <c r="C838" t="s">
        <v>28</v>
      </c>
      <c r="D838" t="str">
        <f>IFERROR(INDEX(Sheet2!$B$2:$B$1132,MATCH(Sheet1!C838,Sheet1!$C$2:$C$1132,0)),"IDK")</f>
        <v>IT</v>
      </c>
      <c r="E838" t="s">
        <v>51</v>
      </c>
      <c r="F838" t="s">
        <v>54</v>
      </c>
      <c r="G838" s="1">
        <v>45456</v>
      </c>
      <c r="H838" t="s">
        <v>56</v>
      </c>
      <c r="I838" s="2" t="s">
        <v>114</v>
      </c>
      <c r="J838" s="2" t="s">
        <v>115</v>
      </c>
      <c r="K838">
        <f>IFERROR(INDEX(Sheet2!$C$2:$C$1132,MATCH(Sheet1!C838,Sheet1!$C$2:$C$1132,0)),"")</f>
        <v>30000</v>
      </c>
      <c r="L838">
        <f>IFERROR(INDEX(Sheet2!$D$2:$D$1132,MATCH(Sheet1!C838,$C$2:$C$1132,0)),"")</f>
        <v>55000</v>
      </c>
      <c r="M838" t="str">
        <f>IFERROR(INDEX($M$2:$M$1132,MATCH(B838,$B$2:$B$1132,0)),"")</f>
        <v>GOOGLE ANALYTICS, SEO, SOCIAL MEDIA ANALYTICS, EXCEL</v>
      </c>
      <c r="N838" t="s">
        <v>74</v>
      </c>
      <c r="O838" t="s">
        <v>77</v>
      </c>
    </row>
    <row r="839" spans="1:15" x14ac:dyDescent="0.25">
      <c r="A839">
        <v>18687</v>
      </c>
      <c r="B839" t="s">
        <v>22</v>
      </c>
      <c r="C839" t="s">
        <v>29</v>
      </c>
      <c r="D839" t="str">
        <f>IFERROR(INDEX(Sheet2!$B$2:$B$1132,MATCH(Sheet1!C839,Sheet1!$C$2:$C$1132,0)),"IDK")</f>
        <v>IT</v>
      </c>
      <c r="E839" t="s">
        <v>51</v>
      </c>
      <c r="F839" t="s">
        <v>54</v>
      </c>
      <c r="G839" s="1">
        <v>45505</v>
      </c>
      <c r="H839" t="s">
        <v>56</v>
      </c>
      <c r="I839" s="2" t="s">
        <v>116</v>
      </c>
      <c r="J839" s="2" t="s">
        <v>117</v>
      </c>
      <c r="K839">
        <f>IFERROR(INDEX(Sheet2!$C$2:$C$1132,MATCH(Sheet1!C839,Sheet1!$C$2:$C$1132,0)),"")</f>
        <v>35000</v>
      </c>
      <c r="L839">
        <f>IFERROR(INDEX(Sheet2!$D$2:$D$1132,MATCH(Sheet1!C839,$C$2:$C$1132,0)),"")</f>
        <v>70000</v>
      </c>
      <c r="M839" t="str">
        <f>IFERROR(INDEX($M$2:$M$1132,MATCH(B839,$B$2:$B$1132,0)),"")</f>
        <v>GOOGLE ANALYTICS, SEO, SOCIAL MEDIA ANALYTICS, EXCEL</v>
      </c>
      <c r="N839" t="s">
        <v>74</v>
      </c>
      <c r="O839" t="s">
        <v>77</v>
      </c>
    </row>
    <row r="840" spans="1:15" x14ac:dyDescent="0.25">
      <c r="A840">
        <v>18688</v>
      </c>
      <c r="B840" t="s">
        <v>22</v>
      </c>
      <c r="C840" t="s">
        <v>23</v>
      </c>
      <c r="D840" t="str">
        <f>IFERROR(INDEX(Sheet2!$B$2:$B$1132,MATCH(Sheet1!C840,Sheet1!$C$2:$C$1132,0)),"IDK")</f>
        <v>IT</v>
      </c>
      <c r="E840" t="s">
        <v>51</v>
      </c>
      <c r="F840" t="s">
        <v>54</v>
      </c>
      <c r="G840" s="1">
        <v>45510</v>
      </c>
      <c r="H840" t="s">
        <v>56</v>
      </c>
      <c r="I840" s="2" t="s">
        <v>118</v>
      </c>
      <c r="J840" s="2" t="s">
        <v>119</v>
      </c>
      <c r="K840">
        <f>IFERROR(INDEX(Sheet2!$C$2:$C$1132,MATCH(Sheet1!C840,Sheet1!$C$2:$C$1132,0)),"")</f>
        <v>35000</v>
      </c>
      <c r="L840">
        <f>IFERROR(INDEX(Sheet2!$D$2:$D$1132,MATCH(Sheet1!C840,$C$2:$C$1132,0)),"")</f>
        <v>70000</v>
      </c>
      <c r="M840" t="str">
        <f>IFERROR(INDEX($M$2:$M$1132,MATCH(B840,$B$2:$B$1132,0)),"")</f>
        <v>GOOGLE ANALYTICS, SEO, SOCIAL MEDIA ANALYTICS, EXCEL</v>
      </c>
      <c r="N840" t="s">
        <v>74</v>
      </c>
      <c r="O840" t="s">
        <v>77</v>
      </c>
    </row>
    <row r="841" spans="1:15" x14ac:dyDescent="0.25">
      <c r="A841">
        <v>18689</v>
      </c>
      <c r="B841" t="s">
        <v>22</v>
      </c>
      <c r="C841" t="s">
        <v>30</v>
      </c>
      <c r="D841" t="str">
        <f>IFERROR(INDEX(Sheet2!$B$2:$B$1132,MATCH(Sheet1!C841,Sheet1!$C$2:$C$1132,0)),"IDK")</f>
        <v>IT</v>
      </c>
      <c r="E841" t="s">
        <v>51</v>
      </c>
      <c r="F841" t="s">
        <v>54</v>
      </c>
      <c r="G841" s="1">
        <v>45617</v>
      </c>
      <c r="H841" t="s">
        <v>56</v>
      </c>
      <c r="I841" s="2" t="s">
        <v>118</v>
      </c>
      <c r="J841" s="2" t="s">
        <v>120</v>
      </c>
      <c r="K841">
        <f>IFERROR(INDEX(Sheet2!$C$2:$C$1132,MATCH(Sheet1!C841,Sheet1!$C$2:$C$1132,0)),"")</f>
        <v>25000</v>
      </c>
      <c r="L841">
        <f>IFERROR(INDEX(Sheet2!$D$2:$D$1132,MATCH(Sheet1!C841,$C$2:$C$1132,0)),"")</f>
        <v>60000</v>
      </c>
      <c r="M841" t="str">
        <f>IFERROR(INDEX($M$2:$M$1132,MATCH(B841,$B$2:$B$1132,0)),"")</f>
        <v>GOOGLE ANALYTICS, SEO, SOCIAL MEDIA ANALYTICS, EXCEL</v>
      </c>
      <c r="N841" t="s">
        <v>74</v>
      </c>
      <c r="O841" t="s">
        <v>77</v>
      </c>
    </row>
    <row r="842" spans="1:15" x14ac:dyDescent="0.25">
      <c r="A842">
        <v>18690</v>
      </c>
      <c r="B842" t="s">
        <v>22</v>
      </c>
      <c r="C842" t="s">
        <v>31</v>
      </c>
      <c r="D842" t="str">
        <f>IFERROR(INDEX(Sheet2!$B$2:$B$1132,MATCH(Sheet1!C842,Sheet1!$C$2:$C$1132,0)),"IDK")</f>
        <v>IT</v>
      </c>
      <c r="E842" t="s">
        <v>51</v>
      </c>
      <c r="F842" t="s">
        <v>54</v>
      </c>
      <c r="G842" s="1">
        <v>45606</v>
      </c>
      <c r="H842" t="s">
        <v>56</v>
      </c>
      <c r="I842" s="2" t="s">
        <v>121</v>
      </c>
      <c r="J842" s="2" t="s">
        <v>122</v>
      </c>
      <c r="K842">
        <f>IFERROR(INDEX(Sheet2!$C$2:$C$1132,MATCH(Sheet1!C842,Sheet1!$C$2:$C$1132,0)),"")</f>
        <v>25000</v>
      </c>
      <c r="L842">
        <f>IFERROR(INDEX(Sheet2!$D$2:$D$1132,MATCH(Sheet1!C842,$C$2:$C$1132,0)),"")</f>
        <v>75000</v>
      </c>
      <c r="M842" t="str">
        <f>IFERROR(INDEX($M$2:$M$1132,MATCH(B842,$B$2:$B$1132,0)),"")</f>
        <v>GOOGLE ANALYTICS, SEO, SOCIAL MEDIA ANALYTICS, EXCEL</v>
      </c>
      <c r="N842" t="s">
        <v>74</v>
      </c>
      <c r="O842" t="s">
        <v>77</v>
      </c>
    </row>
    <row r="843" spans="1:15" x14ac:dyDescent="0.25">
      <c r="A843">
        <v>18691</v>
      </c>
      <c r="B843" t="s">
        <v>22</v>
      </c>
      <c r="C843" t="s">
        <v>32</v>
      </c>
      <c r="D843" t="str">
        <f>IFERROR(INDEX(Sheet2!$B$2:$B$1132,MATCH(Sheet1!C843,Sheet1!$C$2:$C$1132,0)),"IDK")</f>
        <v>SOCIAL</v>
      </c>
      <c r="E843" t="s">
        <v>51</v>
      </c>
      <c r="F843" t="s">
        <v>54</v>
      </c>
      <c r="G843" s="1">
        <v>45595</v>
      </c>
      <c r="H843" t="s">
        <v>56</v>
      </c>
      <c r="I843" s="2" t="s">
        <v>123</v>
      </c>
      <c r="J843" s="2" t="s">
        <v>124</v>
      </c>
      <c r="K843">
        <f>IFERROR(INDEX(Sheet2!$C$2:$C$1132,MATCH(Sheet1!C843,Sheet1!$C$2:$C$1132,0)),"")</f>
        <v>20000</v>
      </c>
      <c r="L843">
        <f>IFERROR(INDEX(Sheet2!$D$2:$D$1132,MATCH(Sheet1!C843,$C$2:$C$1132,0)),"")</f>
        <v>70000</v>
      </c>
      <c r="M843" t="str">
        <f>IFERROR(INDEX($M$2:$M$1132,MATCH(B843,$B$2:$B$1132,0)),"")</f>
        <v>GOOGLE ANALYTICS, SEO, SOCIAL MEDIA ANALYTICS, EXCEL</v>
      </c>
      <c r="N843" t="s">
        <v>74</v>
      </c>
      <c r="O843" t="s">
        <v>77</v>
      </c>
    </row>
    <row r="844" spans="1:15" x14ac:dyDescent="0.25">
      <c r="A844">
        <v>18692</v>
      </c>
      <c r="B844" t="s">
        <v>22</v>
      </c>
      <c r="C844" t="s">
        <v>33</v>
      </c>
      <c r="D844" t="str">
        <f>IFERROR(INDEX(Sheet2!$B$2:$B$1132,MATCH(Sheet1!C844,Sheet1!$C$2:$C$1132,0)),"IDK")</f>
        <v>FINANCE</v>
      </c>
      <c r="E844" t="s">
        <v>51</v>
      </c>
      <c r="F844" t="s">
        <v>54</v>
      </c>
      <c r="G844" s="1">
        <v>45487</v>
      </c>
      <c r="H844" t="s">
        <v>56</v>
      </c>
      <c r="I844" s="2" t="s">
        <v>125</v>
      </c>
      <c r="J844" s="2" t="s">
        <v>126</v>
      </c>
      <c r="K844">
        <f>IFERROR(INDEX(Sheet2!$C$2:$C$1132,MATCH(Sheet1!C844,Sheet1!$C$2:$C$1132,0)),"")</f>
        <v>40000</v>
      </c>
      <c r="L844">
        <f>IFERROR(INDEX(Sheet2!$D$2:$D$1132,MATCH(Sheet1!C844,$C$2:$C$1132,0)),"")</f>
        <v>85000</v>
      </c>
      <c r="M844" t="str">
        <f>IFERROR(INDEX($M$2:$M$1132,MATCH(B844,$B$2:$B$1132,0)),"")</f>
        <v>GOOGLE ANALYTICS, SEO, SOCIAL MEDIA ANALYTICS, EXCEL</v>
      </c>
      <c r="N844" t="s">
        <v>74</v>
      </c>
      <c r="O844" t="s">
        <v>77</v>
      </c>
    </row>
    <row r="845" spans="1:15" x14ac:dyDescent="0.25">
      <c r="A845">
        <v>18693</v>
      </c>
      <c r="B845" t="s">
        <v>22</v>
      </c>
      <c r="C845" t="s">
        <v>34</v>
      </c>
      <c r="D845" t="str">
        <f>IFERROR(INDEX(Sheet2!$B$2:$B$1132,MATCH(Sheet1!C845,Sheet1!$C$2:$C$1132,0)),"IDK")</f>
        <v>IT</v>
      </c>
      <c r="E845" t="s">
        <v>51</v>
      </c>
      <c r="F845" t="s">
        <v>54</v>
      </c>
      <c r="G845" s="1">
        <v>45331</v>
      </c>
      <c r="H845" t="s">
        <v>56</v>
      </c>
      <c r="I845" s="2" t="s">
        <v>127</v>
      </c>
      <c r="J845" s="2" t="s">
        <v>128</v>
      </c>
      <c r="K845">
        <f>IFERROR(INDEX(Sheet2!$C$2:$C$1132,MATCH(Sheet1!C845,Sheet1!$C$2:$C$1132,0)),"")</f>
        <v>35000</v>
      </c>
      <c r="L845">
        <f>IFERROR(INDEX(Sheet2!$D$2:$D$1132,MATCH(Sheet1!C845,$C$2:$C$1132,0)),"")</f>
        <v>90000</v>
      </c>
      <c r="M845" t="str">
        <f>IFERROR(INDEX($M$2:$M$1132,MATCH(B845,$B$2:$B$1132,0)),"")</f>
        <v>GOOGLE ANALYTICS, SEO, SOCIAL MEDIA ANALYTICS, EXCEL</v>
      </c>
      <c r="N845" t="s">
        <v>74</v>
      </c>
      <c r="O845" t="s">
        <v>77</v>
      </c>
    </row>
    <row r="846" spans="1:15" x14ac:dyDescent="0.25">
      <c r="A846">
        <v>18694</v>
      </c>
      <c r="B846" t="s">
        <v>22</v>
      </c>
      <c r="C846" t="s">
        <v>35</v>
      </c>
      <c r="D846" t="str">
        <f>IFERROR(INDEX(Sheet2!$B$2:$B$1132,MATCH(Sheet1!C846,Sheet1!$C$2:$C$1132,0)),"IDK")</f>
        <v>SOCIAL</v>
      </c>
      <c r="E846" t="s">
        <v>51</v>
      </c>
      <c r="F846" t="s">
        <v>54</v>
      </c>
      <c r="G846" s="1">
        <v>45624</v>
      </c>
      <c r="H846" t="s">
        <v>56</v>
      </c>
      <c r="I846" s="2" t="s">
        <v>121</v>
      </c>
      <c r="J846" s="2" t="s">
        <v>122</v>
      </c>
      <c r="K846">
        <f>IFERROR(INDEX(Sheet2!$C$2:$C$1132,MATCH(Sheet1!C846,Sheet1!$C$2:$C$1132,0)),"")</f>
        <v>30000</v>
      </c>
      <c r="L846">
        <f>IFERROR(INDEX(Sheet2!$D$2:$D$1132,MATCH(Sheet1!C846,$C$2:$C$1132,0)),"")</f>
        <v>95000</v>
      </c>
      <c r="M846" t="str">
        <f>IFERROR(INDEX($M$2:$M$1132,MATCH(B846,$B$2:$B$1132,0)),"")</f>
        <v>GOOGLE ANALYTICS, SEO, SOCIAL MEDIA ANALYTICS, EXCEL</v>
      </c>
      <c r="N846" t="s">
        <v>74</v>
      </c>
      <c r="O846" t="s">
        <v>77</v>
      </c>
    </row>
    <row r="847" spans="1:15" x14ac:dyDescent="0.25">
      <c r="A847">
        <v>18695</v>
      </c>
      <c r="B847" t="s">
        <v>22</v>
      </c>
      <c r="C847" t="s">
        <v>36</v>
      </c>
      <c r="D847" t="str">
        <f>IFERROR(INDEX(Sheet2!$B$2:$B$1132,MATCH(Sheet1!C847,Sheet1!$C$2:$C$1132,0)),"IDK")</f>
        <v>IT</v>
      </c>
      <c r="E847" t="s">
        <v>51</v>
      </c>
      <c r="F847" t="s">
        <v>54</v>
      </c>
      <c r="G847" s="1">
        <v>45600</v>
      </c>
      <c r="H847" t="s">
        <v>56</v>
      </c>
      <c r="I847" s="2" t="s">
        <v>123</v>
      </c>
      <c r="J847" s="2" t="s">
        <v>124</v>
      </c>
      <c r="K847">
        <f>IFERROR(INDEX(Sheet2!$C$2:$C$1132,MATCH(Sheet1!C847,Sheet1!$C$2:$C$1132,0)),"")</f>
        <v>50000</v>
      </c>
      <c r="L847">
        <f>IFERROR(INDEX(Sheet2!$D$2:$D$1132,MATCH(Sheet1!C847,$C$2:$C$1132,0)),"")</f>
        <v>100000</v>
      </c>
      <c r="M847" t="str">
        <f>IFERROR(INDEX($M$2:$M$1132,MATCH(B847,$B$2:$B$1132,0)),"")</f>
        <v>GOOGLE ANALYTICS, SEO, SOCIAL MEDIA ANALYTICS, EXCEL</v>
      </c>
      <c r="N847" t="s">
        <v>74</v>
      </c>
      <c r="O847" t="s">
        <v>77</v>
      </c>
    </row>
    <row r="848" spans="1:15" x14ac:dyDescent="0.25">
      <c r="A848">
        <v>18696</v>
      </c>
      <c r="B848" t="s">
        <v>22</v>
      </c>
      <c r="C848" t="s">
        <v>27</v>
      </c>
      <c r="D848" t="str">
        <f>IFERROR(INDEX(Sheet2!$B$2:$B$1132,MATCH(Sheet1!C848,Sheet1!$C$2:$C$1132,0)),"IDK")</f>
        <v>IT</v>
      </c>
      <c r="E848" t="s">
        <v>51</v>
      </c>
      <c r="F848" t="s">
        <v>54</v>
      </c>
      <c r="G848" s="1">
        <v>45501</v>
      </c>
      <c r="H848" t="s">
        <v>56</v>
      </c>
      <c r="I848" s="2" t="s">
        <v>125</v>
      </c>
      <c r="J848" s="2" t="s">
        <v>126</v>
      </c>
      <c r="K848">
        <f>IFERROR(INDEX(Sheet2!$C$2:$C$1132,MATCH(Sheet1!C848,Sheet1!$C$2:$C$1132,0)),"")</f>
        <v>40000</v>
      </c>
      <c r="L848">
        <f>IFERROR(INDEX(Sheet2!$D$2:$D$1132,MATCH(Sheet1!C848,$C$2:$C$1132,0)),"")</f>
        <v>80000</v>
      </c>
      <c r="M848" t="str">
        <f>IFERROR(INDEX($M$2:$M$1132,MATCH(B848,$B$2:$B$1132,0)),"")</f>
        <v>GOOGLE ANALYTICS, SEO, SOCIAL MEDIA ANALYTICS, EXCEL</v>
      </c>
      <c r="N848" t="s">
        <v>74</v>
      </c>
      <c r="O848" t="s">
        <v>77</v>
      </c>
    </row>
    <row r="849" spans="1:15" x14ac:dyDescent="0.25">
      <c r="A849">
        <v>18697</v>
      </c>
      <c r="B849" t="s">
        <v>22</v>
      </c>
      <c r="C849" t="s">
        <v>28</v>
      </c>
      <c r="D849" t="str">
        <f>IFERROR(INDEX(Sheet2!$B$2:$B$1132,MATCH(Sheet1!C849,Sheet1!$C$2:$C$1132,0)),"IDK")</f>
        <v>IT</v>
      </c>
      <c r="E849" t="s">
        <v>51</v>
      </c>
      <c r="F849" t="s">
        <v>54</v>
      </c>
      <c r="G849" s="1">
        <v>45413</v>
      </c>
      <c r="H849" t="s">
        <v>56</v>
      </c>
      <c r="I849" s="2" t="s">
        <v>127</v>
      </c>
      <c r="J849" s="2" t="s">
        <v>128</v>
      </c>
      <c r="K849">
        <f>IFERROR(INDEX(Sheet2!$C$2:$C$1132,MATCH(Sheet1!C849,Sheet1!$C$2:$C$1132,0)),"")</f>
        <v>30000</v>
      </c>
      <c r="L849">
        <f>IFERROR(INDEX(Sheet2!$D$2:$D$1132,MATCH(Sheet1!C849,$C$2:$C$1132,0)),"")</f>
        <v>55000</v>
      </c>
      <c r="M849" t="str">
        <f>IFERROR(INDEX($M$2:$M$1132,MATCH(B849,$B$2:$B$1132,0)),"")</f>
        <v>GOOGLE ANALYTICS, SEO, SOCIAL MEDIA ANALYTICS, EXCEL</v>
      </c>
      <c r="N849" t="s">
        <v>74</v>
      </c>
      <c r="O849" t="s">
        <v>77</v>
      </c>
    </row>
    <row r="850" spans="1:15" x14ac:dyDescent="0.25">
      <c r="A850">
        <v>18698</v>
      </c>
      <c r="B850" t="s">
        <v>22</v>
      </c>
      <c r="C850" t="s">
        <v>29</v>
      </c>
      <c r="D850" t="str">
        <f>IFERROR(INDEX(Sheet2!$B$2:$B$1132,MATCH(Sheet1!C850,Sheet1!$C$2:$C$1132,0)),"IDK")</f>
        <v>IT</v>
      </c>
      <c r="E850" t="s">
        <v>51</v>
      </c>
      <c r="F850" t="s">
        <v>54</v>
      </c>
      <c r="G850" s="1">
        <v>45618</v>
      </c>
      <c r="H850" t="s">
        <v>56</v>
      </c>
      <c r="I850" s="2" t="s">
        <v>109</v>
      </c>
      <c r="J850" s="2" t="s">
        <v>110</v>
      </c>
      <c r="K850">
        <f>IFERROR(INDEX(Sheet2!$C$2:$C$1132,MATCH(Sheet1!C850,Sheet1!$C$2:$C$1132,0)),"")</f>
        <v>35000</v>
      </c>
      <c r="L850">
        <f>IFERROR(INDEX(Sheet2!$D$2:$D$1132,MATCH(Sheet1!C850,$C$2:$C$1132,0)),"")</f>
        <v>70000</v>
      </c>
      <c r="M850" t="str">
        <f>IFERROR(INDEX($M$2:$M$1132,MATCH(B850,$B$2:$B$1132,0)),"")</f>
        <v>GOOGLE ANALYTICS, SEO, SOCIAL MEDIA ANALYTICS, EXCEL</v>
      </c>
      <c r="N850" t="s">
        <v>74</v>
      </c>
      <c r="O850" t="s">
        <v>77</v>
      </c>
    </row>
    <row r="851" spans="1:15" x14ac:dyDescent="0.25">
      <c r="A851">
        <v>18699</v>
      </c>
      <c r="B851" t="s">
        <v>22</v>
      </c>
      <c r="C851" t="s">
        <v>23</v>
      </c>
      <c r="D851" t="str">
        <f>IFERROR(INDEX(Sheet2!$B$2:$B$1132,MATCH(Sheet1!C851,Sheet1!$C$2:$C$1132,0)),"IDK")</f>
        <v>IT</v>
      </c>
      <c r="E851" t="s">
        <v>51</v>
      </c>
      <c r="F851" t="s">
        <v>54</v>
      </c>
      <c r="G851" s="1">
        <v>45349</v>
      </c>
      <c r="H851" t="s">
        <v>58</v>
      </c>
      <c r="I851" s="2" t="s">
        <v>131</v>
      </c>
      <c r="J851" s="2" t="s">
        <v>132</v>
      </c>
      <c r="K851">
        <f>IFERROR(INDEX(Sheet2!$C$2:$C$1132,MATCH(Sheet1!C851,Sheet1!$C$2:$C$1132,0)),"")</f>
        <v>35000</v>
      </c>
      <c r="L851">
        <f>IFERROR(INDEX(Sheet2!$D$2:$D$1132,MATCH(Sheet1!C851,$C$2:$C$1132,0)),"")</f>
        <v>70000</v>
      </c>
      <c r="M851" t="str">
        <f>IFERROR(INDEX($M$2:$M$1132,MATCH(B851,$B$2:$B$1132,0)),"")</f>
        <v>GOOGLE ANALYTICS, SEO, SOCIAL MEDIA ANALYTICS, EXCEL</v>
      </c>
      <c r="N851" t="s">
        <v>74</v>
      </c>
      <c r="O851" t="s">
        <v>77</v>
      </c>
    </row>
    <row r="852" spans="1:15" x14ac:dyDescent="0.25">
      <c r="A852">
        <v>18700</v>
      </c>
      <c r="B852" t="s">
        <v>22</v>
      </c>
      <c r="C852" t="s">
        <v>30</v>
      </c>
      <c r="D852" t="str">
        <f>IFERROR(INDEX(Sheet2!$B$2:$B$1132,MATCH(Sheet1!C852,Sheet1!$C$2:$C$1132,0)),"IDK")</f>
        <v>IT</v>
      </c>
      <c r="E852" t="s">
        <v>51</v>
      </c>
      <c r="F852" t="s">
        <v>54</v>
      </c>
      <c r="G852" s="1">
        <v>45590</v>
      </c>
      <c r="H852" t="s">
        <v>58</v>
      </c>
      <c r="I852" s="2" t="s">
        <v>133</v>
      </c>
      <c r="J852" s="2" t="s">
        <v>134</v>
      </c>
      <c r="K852">
        <f>IFERROR(INDEX(Sheet2!$C$2:$C$1132,MATCH(Sheet1!C852,Sheet1!$C$2:$C$1132,0)),"")</f>
        <v>25000</v>
      </c>
      <c r="L852">
        <f>IFERROR(INDEX(Sheet2!$D$2:$D$1132,MATCH(Sheet1!C852,$C$2:$C$1132,0)),"")</f>
        <v>60000</v>
      </c>
      <c r="M852" t="str">
        <f>IFERROR(INDEX($M$2:$M$1132,MATCH(B852,$B$2:$B$1132,0)),"")</f>
        <v>GOOGLE ANALYTICS, SEO, SOCIAL MEDIA ANALYTICS, EXCEL</v>
      </c>
      <c r="N852" t="s">
        <v>74</v>
      </c>
      <c r="O852" t="s">
        <v>77</v>
      </c>
    </row>
    <row r="853" spans="1:15" x14ac:dyDescent="0.25">
      <c r="A853">
        <v>18701</v>
      </c>
      <c r="B853" t="s">
        <v>22</v>
      </c>
      <c r="C853" t="s">
        <v>31</v>
      </c>
      <c r="D853" t="str">
        <f>IFERROR(INDEX(Sheet2!$B$2:$B$1132,MATCH(Sheet1!C853,Sheet1!$C$2:$C$1132,0)),"IDK")</f>
        <v>IT</v>
      </c>
      <c r="E853" t="s">
        <v>51</v>
      </c>
      <c r="F853" t="s">
        <v>54</v>
      </c>
      <c r="G853" s="1">
        <v>45430</v>
      </c>
      <c r="H853" t="s">
        <v>58</v>
      </c>
      <c r="I853" s="2" t="s">
        <v>133</v>
      </c>
      <c r="J853" s="2" t="s">
        <v>135</v>
      </c>
      <c r="K853">
        <f>IFERROR(INDEX(Sheet2!$C$2:$C$1132,MATCH(Sheet1!C853,Sheet1!$C$2:$C$1132,0)),"")</f>
        <v>25000</v>
      </c>
      <c r="L853">
        <f>IFERROR(INDEX(Sheet2!$D$2:$D$1132,MATCH(Sheet1!C853,$C$2:$C$1132,0)),"")</f>
        <v>75000</v>
      </c>
      <c r="M853" t="str">
        <f>IFERROR(INDEX($M$2:$M$1132,MATCH(B853,$B$2:$B$1132,0)),"")</f>
        <v>GOOGLE ANALYTICS, SEO, SOCIAL MEDIA ANALYTICS, EXCEL</v>
      </c>
      <c r="N853" t="s">
        <v>74</v>
      </c>
      <c r="O853" t="s">
        <v>77</v>
      </c>
    </row>
    <row r="854" spans="1:15" x14ac:dyDescent="0.25">
      <c r="A854">
        <v>18702</v>
      </c>
      <c r="B854" t="s">
        <v>14</v>
      </c>
      <c r="C854" t="s">
        <v>32</v>
      </c>
      <c r="D854" t="str">
        <f>IFERROR(INDEX(Sheet2!$B$2:$B$1132,MATCH(Sheet1!C854,Sheet1!$C$2:$C$1132,0)),"IDK")</f>
        <v>SOCIAL</v>
      </c>
      <c r="E854" t="s">
        <v>51</v>
      </c>
      <c r="F854" t="s">
        <v>54</v>
      </c>
      <c r="G854" s="1">
        <v>45634</v>
      </c>
      <c r="H854" t="s">
        <v>58</v>
      </c>
      <c r="I854" s="2" t="s">
        <v>136</v>
      </c>
      <c r="J854" s="2" t="s">
        <v>137</v>
      </c>
      <c r="K854">
        <f>IFERROR(INDEX(Sheet2!$C$2:$C$1132,MATCH(Sheet1!C854,Sheet1!$C$2:$C$1132,0)),"")</f>
        <v>20000</v>
      </c>
      <c r="L854">
        <f>IFERROR(INDEX(Sheet2!$D$2:$D$1132,MATCH(Sheet1!C854,$C$2:$C$1132,0)),"")</f>
        <v>70000</v>
      </c>
      <c r="M854" t="str">
        <f>IFERROR(INDEX($M$2:$M$1132,MATCH(B854,$B$2:$B$1132,0)),"")</f>
        <v>SQL, EXCEL, POWERBI, TABLEAU</v>
      </c>
      <c r="N854" t="s">
        <v>74</v>
      </c>
      <c r="O854" t="s">
        <v>77</v>
      </c>
    </row>
    <row r="855" spans="1:15" x14ac:dyDescent="0.25">
      <c r="A855">
        <v>18703</v>
      </c>
      <c r="B855" t="s">
        <v>14</v>
      </c>
      <c r="C855" t="s">
        <v>33</v>
      </c>
      <c r="D855" t="str">
        <f>IFERROR(INDEX(Sheet2!$B$2:$B$1132,MATCH(Sheet1!C855,Sheet1!$C$2:$C$1132,0)),"IDK")</f>
        <v>FINANCE</v>
      </c>
      <c r="E855" t="s">
        <v>51</v>
      </c>
      <c r="F855" t="s">
        <v>54</v>
      </c>
      <c r="G855" s="1">
        <v>45623</v>
      </c>
      <c r="H855" t="s">
        <v>58</v>
      </c>
      <c r="I855" s="2" t="s">
        <v>138</v>
      </c>
      <c r="J855" s="2" t="s">
        <v>139</v>
      </c>
      <c r="K855">
        <f>IFERROR(INDEX(Sheet2!$C$2:$C$1132,MATCH(Sheet1!C855,Sheet1!$C$2:$C$1132,0)),"")</f>
        <v>40000</v>
      </c>
      <c r="L855">
        <f>IFERROR(INDEX(Sheet2!$D$2:$D$1132,MATCH(Sheet1!C855,$C$2:$C$1132,0)),"")</f>
        <v>85000</v>
      </c>
      <c r="M855" t="str">
        <f>IFERROR(INDEX($M$2:$M$1132,MATCH(B855,$B$2:$B$1132,0)),"")</f>
        <v>SQL, EXCEL, POWERBI, TABLEAU</v>
      </c>
      <c r="N855" t="s">
        <v>74</v>
      </c>
      <c r="O855" t="s">
        <v>77</v>
      </c>
    </row>
    <row r="856" spans="1:15" x14ac:dyDescent="0.25">
      <c r="A856">
        <v>18704</v>
      </c>
      <c r="B856" t="s">
        <v>14</v>
      </c>
      <c r="C856" t="s">
        <v>23</v>
      </c>
      <c r="D856" t="str">
        <f>IFERROR(INDEX(Sheet2!$B$2:$B$1132,MATCH(Sheet1!C856,Sheet1!$C$2:$C$1132,0)),"IDK")</f>
        <v>IT</v>
      </c>
      <c r="E856" t="s">
        <v>51</v>
      </c>
      <c r="F856" t="s">
        <v>54</v>
      </c>
      <c r="G856" s="1">
        <v>45584</v>
      </c>
      <c r="H856" t="s">
        <v>58</v>
      </c>
      <c r="I856" s="2" t="s">
        <v>140</v>
      </c>
      <c r="J856" s="2" t="s">
        <v>141</v>
      </c>
      <c r="K856">
        <f>IFERROR(INDEX(Sheet2!$C$2:$C$1132,MATCH(Sheet1!C856,Sheet1!$C$2:$C$1132,0)),"")</f>
        <v>35000</v>
      </c>
      <c r="L856">
        <f>IFERROR(INDEX(Sheet2!$D$2:$D$1132,MATCH(Sheet1!C856,$C$2:$C$1132,0)),"")</f>
        <v>70000</v>
      </c>
      <c r="M856" t="str">
        <f>IFERROR(INDEX($M$2:$M$1132,MATCH(B856,$B$2:$B$1132,0)),"")</f>
        <v>SQL, EXCEL, POWERBI, TABLEAU</v>
      </c>
      <c r="N856" t="s">
        <v>74</v>
      </c>
      <c r="O856" t="s">
        <v>77</v>
      </c>
    </row>
    <row r="857" spans="1:15" x14ac:dyDescent="0.25">
      <c r="A857">
        <v>18705</v>
      </c>
      <c r="B857" t="s">
        <v>14</v>
      </c>
      <c r="C857" t="s">
        <v>24</v>
      </c>
      <c r="D857" t="str">
        <f>IFERROR(INDEX(Sheet2!$B$2:$B$1132,MATCH(Sheet1!C857,Sheet1!$C$2:$C$1132,0)),"IDK")</f>
        <v>HEALTH</v>
      </c>
      <c r="E857" t="s">
        <v>51</v>
      </c>
      <c r="F857" t="s">
        <v>54</v>
      </c>
      <c r="G857" s="1">
        <v>45475</v>
      </c>
      <c r="H857" t="s">
        <v>58</v>
      </c>
      <c r="I857" s="2" t="s">
        <v>142</v>
      </c>
      <c r="J857" s="2" t="s">
        <v>143</v>
      </c>
      <c r="K857">
        <f>IFERROR(INDEX(Sheet2!$C$2:$C$1132,MATCH(Sheet1!C857,Sheet1!$C$2:$C$1132,0)),"")</f>
        <v>25000</v>
      </c>
      <c r="L857">
        <f>IFERROR(INDEX(Sheet2!$D$2:$D$1132,MATCH(Sheet1!C857,$C$2:$C$1132,0)),"")</f>
        <v>50000</v>
      </c>
      <c r="M857" t="str">
        <f>IFERROR(INDEX($M$2:$M$1132,MATCH(B857,$B$2:$B$1132,0)),"")</f>
        <v>SQL, EXCEL, POWERBI, TABLEAU</v>
      </c>
      <c r="N857" t="s">
        <v>74</v>
      </c>
      <c r="O857" t="s">
        <v>77</v>
      </c>
    </row>
    <row r="858" spans="1:15" x14ac:dyDescent="0.25">
      <c r="A858">
        <v>18706</v>
      </c>
      <c r="B858" t="s">
        <v>14</v>
      </c>
      <c r="C858" t="s">
        <v>25</v>
      </c>
      <c r="D858" t="str">
        <f>IFERROR(INDEX(Sheet2!$B$2:$B$1132,MATCH(Sheet1!C858,Sheet1!$C$2:$C$1132,0)),"IDK")</f>
        <v>SOCIAL</v>
      </c>
      <c r="E858" t="s">
        <v>51</v>
      </c>
      <c r="F858" t="s">
        <v>54</v>
      </c>
      <c r="G858" s="1">
        <v>45543</v>
      </c>
      <c r="H858" t="s">
        <v>58</v>
      </c>
      <c r="I858" s="2" t="s">
        <v>146</v>
      </c>
      <c r="J858" s="2" t="s">
        <v>147</v>
      </c>
      <c r="K858">
        <f>IFERROR(INDEX(Sheet2!$C$2:$C$1132,MATCH(Sheet1!C858,Sheet1!$C$2:$C$1132,0)),"")</f>
        <v>30000</v>
      </c>
      <c r="L858">
        <f>IFERROR(INDEX(Sheet2!$D$2:$D$1132,MATCH(Sheet1!C858,$C$2:$C$1132,0)),"")</f>
        <v>60000</v>
      </c>
      <c r="M858" t="str">
        <f>IFERROR(INDEX($M$2:$M$1132,MATCH(B858,$B$2:$B$1132,0)),"")</f>
        <v>SQL, EXCEL, POWERBI, TABLEAU</v>
      </c>
      <c r="N858" t="s">
        <v>74</v>
      </c>
      <c r="O858" t="s">
        <v>77</v>
      </c>
    </row>
    <row r="859" spans="1:15" x14ac:dyDescent="0.25">
      <c r="A859">
        <v>18707</v>
      </c>
      <c r="B859" t="s">
        <v>14</v>
      </c>
      <c r="C859" t="s">
        <v>26</v>
      </c>
      <c r="D859" t="str">
        <f>IFERROR(INDEX(Sheet2!$B$2:$B$1132,MATCH(Sheet1!C859,Sheet1!$C$2:$C$1132,0)),"IDK")</f>
        <v>FINANCE</v>
      </c>
      <c r="E859" t="s">
        <v>51</v>
      </c>
      <c r="F859" t="s">
        <v>54</v>
      </c>
      <c r="G859" s="1">
        <v>45570</v>
      </c>
      <c r="H859" t="s">
        <v>58</v>
      </c>
      <c r="I859" s="2" t="s">
        <v>129</v>
      </c>
      <c r="J859" s="2" t="s">
        <v>130</v>
      </c>
      <c r="K859">
        <f>IFERROR(INDEX(Sheet2!$C$2:$C$1132,MATCH(Sheet1!C859,Sheet1!$C$2:$C$1132,0)),"")</f>
        <v>35000</v>
      </c>
      <c r="L859">
        <f>IFERROR(INDEX(Sheet2!$D$2:$D$1132,MATCH(Sheet1!C859,$C$2:$C$1132,0)),"")</f>
        <v>75000</v>
      </c>
      <c r="M859" t="str">
        <f>IFERROR(INDEX($M$2:$M$1132,MATCH(B859,$B$2:$B$1132,0)),"")</f>
        <v>SQL, EXCEL, POWERBI, TABLEAU</v>
      </c>
      <c r="N859" t="s">
        <v>74</v>
      </c>
      <c r="O859" t="s">
        <v>77</v>
      </c>
    </row>
    <row r="860" spans="1:15" x14ac:dyDescent="0.25">
      <c r="A860">
        <v>18708</v>
      </c>
      <c r="B860" t="s">
        <v>14</v>
      </c>
      <c r="C860" t="s">
        <v>37</v>
      </c>
      <c r="D860" t="s">
        <v>43</v>
      </c>
      <c r="E860" t="s">
        <v>51</v>
      </c>
      <c r="F860" t="s">
        <v>54</v>
      </c>
      <c r="G860" s="1">
        <v>45392</v>
      </c>
      <c r="H860" t="s">
        <v>58</v>
      </c>
      <c r="I860" s="2" t="s">
        <v>131</v>
      </c>
      <c r="J860" s="2" t="s">
        <v>132</v>
      </c>
      <c r="K860">
        <v>45000</v>
      </c>
      <c r="L860">
        <v>90000</v>
      </c>
      <c r="M860" t="str">
        <f>IFERROR(INDEX($M$2:$M$1132,MATCH(B860,$B$2:$B$1132,0)),"")</f>
        <v>SQL, EXCEL, POWERBI, TABLEAU</v>
      </c>
      <c r="N860" t="s">
        <v>74</v>
      </c>
      <c r="O860" t="s">
        <v>77</v>
      </c>
    </row>
    <row r="861" spans="1:15" x14ac:dyDescent="0.25">
      <c r="A861">
        <v>18709</v>
      </c>
      <c r="B861" t="s">
        <v>14</v>
      </c>
      <c r="C861" t="s">
        <v>38</v>
      </c>
      <c r="D861" t="s">
        <v>42</v>
      </c>
      <c r="E861" t="s">
        <v>51</v>
      </c>
      <c r="F861" t="s">
        <v>54</v>
      </c>
      <c r="G861" s="1">
        <v>45417</v>
      </c>
      <c r="H861" t="s">
        <v>58</v>
      </c>
      <c r="I861" s="2" t="s">
        <v>133</v>
      </c>
      <c r="J861" s="2" t="s">
        <v>134</v>
      </c>
      <c r="K861">
        <v>20000</v>
      </c>
      <c r="L861">
        <v>80000</v>
      </c>
      <c r="M861" t="str">
        <f>IFERROR(INDEX($M$2:$M$1132,MATCH(B861,$B$2:$B$1132,0)),"")</f>
        <v>SQL, EXCEL, POWERBI, TABLEAU</v>
      </c>
      <c r="N861" t="s">
        <v>74</v>
      </c>
      <c r="O861" t="s">
        <v>77</v>
      </c>
    </row>
    <row r="862" spans="1:15" x14ac:dyDescent="0.25">
      <c r="A862">
        <v>18710</v>
      </c>
      <c r="B862" t="s">
        <v>14</v>
      </c>
      <c r="C862" t="s">
        <v>39</v>
      </c>
      <c r="D862" t="s">
        <v>42</v>
      </c>
      <c r="E862" t="s">
        <v>51</v>
      </c>
      <c r="F862" t="s">
        <v>54</v>
      </c>
      <c r="G862" s="1">
        <v>45399</v>
      </c>
      <c r="H862" t="s">
        <v>58</v>
      </c>
      <c r="I862" s="2" t="s">
        <v>133</v>
      </c>
      <c r="J862" s="2" t="s">
        <v>135</v>
      </c>
      <c r="K862">
        <v>25000</v>
      </c>
      <c r="L862">
        <v>85000</v>
      </c>
      <c r="M862" t="str">
        <f>IFERROR(INDEX($M$2:$M$1132,MATCH(B862,$B$2:$B$1132,0)),"")</f>
        <v>SQL, EXCEL, POWERBI, TABLEAU</v>
      </c>
      <c r="N862" t="s">
        <v>74</v>
      </c>
      <c r="O862" t="s">
        <v>80</v>
      </c>
    </row>
    <row r="863" spans="1:15" x14ac:dyDescent="0.25">
      <c r="A863">
        <v>18711</v>
      </c>
      <c r="B863" t="s">
        <v>14</v>
      </c>
      <c r="C863" t="s">
        <v>23</v>
      </c>
      <c r="D863" t="str">
        <f>IFERROR(INDEX(Sheet2!$B$2:$B$1132,MATCH(Sheet1!C863,Sheet1!$C$2:$C$1132,0)),"IDK")</f>
        <v>IT</v>
      </c>
      <c r="E863" t="s">
        <v>51</v>
      </c>
      <c r="F863" t="s">
        <v>54</v>
      </c>
      <c r="G863" s="1">
        <v>45309</v>
      </c>
      <c r="H863" t="s">
        <v>58</v>
      </c>
      <c r="I863" s="2" t="s">
        <v>136</v>
      </c>
      <c r="J863" s="2" t="s">
        <v>137</v>
      </c>
      <c r="K863">
        <f>IFERROR(INDEX(Sheet2!$C$2:$C$1132,MATCH(Sheet1!C863,Sheet1!$C$2:$C$1132,0)),"")</f>
        <v>35000</v>
      </c>
      <c r="L863">
        <f>IFERROR(INDEX(Sheet2!$D$2:$D$1132,MATCH(Sheet1!C863,$C$2:$C$1132,0)),"")</f>
        <v>70000</v>
      </c>
      <c r="M863" t="str">
        <f>IFERROR(INDEX($M$2:$M$1132,MATCH(B863,$B$2:$B$1132,0)),"")</f>
        <v>SQL, EXCEL, POWERBI, TABLEAU</v>
      </c>
      <c r="N863" t="s">
        <v>74</v>
      </c>
      <c r="O863" t="s">
        <v>80</v>
      </c>
    </row>
    <row r="864" spans="1:15" x14ac:dyDescent="0.25">
      <c r="A864">
        <v>18712</v>
      </c>
      <c r="B864" t="s">
        <v>14</v>
      </c>
      <c r="C864" t="s">
        <v>30</v>
      </c>
      <c r="D864" t="str">
        <f>IFERROR(INDEX(Sheet2!$B$2:$B$1132,MATCH(Sheet1!C864,Sheet1!$C$2:$C$1132,0)),"IDK")</f>
        <v>IT</v>
      </c>
      <c r="E864" t="s">
        <v>51</v>
      </c>
      <c r="F864" t="s">
        <v>54</v>
      </c>
      <c r="G864" s="1">
        <v>45314</v>
      </c>
      <c r="H864" t="s">
        <v>58</v>
      </c>
      <c r="I864" s="2" t="s">
        <v>142</v>
      </c>
      <c r="J864" s="2" t="s">
        <v>143</v>
      </c>
      <c r="K864">
        <f>IFERROR(INDEX(Sheet2!$C$2:$C$1132,MATCH(Sheet1!C864,Sheet1!$C$2:$C$1132,0)),"")</f>
        <v>25000</v>
      </c>
      <c r="L864">
        <f>IFERROR(INDEX(Sheet2!$D$2:$D$1132,MATCH(Sheet1!C864,$C$2:$C$1132,0)),"")</f>
        <v>60000</v>
      </c>
      <c r="M864" t="str">
        <f>IFERROR(INDEX($M$2:$M$1132,MATCH(B864,$B$2:$B$1132,0)),"")</f>
        <v>SQL, EXCEL, POWERBI, TABLEAU</v>
      </c>
      <c r="N864" t="s">
        <v>74</v>
      </c>
      <c r="O864" t="s">
        <v>80</v>
      </c>
    </row>
    <row r="865" spans="1:15" x14ac:dyDescent="0.25">
      <c r="A865">
        <v>18713</v>
      </c>
      <c r="B865" t="s">
        <v>14</v>
      </c>
      <c r="C865" t="s">
        <v>31</v>
      </c>
      <c r="D865" t="str">
        <f>IFERROR(INDEX(Sheet2!$B$2:$B$1132,MATCH(Sheet1!C865,Sheet1!$C$2:$C$1132,0)),"IDK")</f>
        <v>IT</v>
      </c>
      <c r="E865" t="s">
        <v>51</v>
      </c>
      <c r="F865" t="s">
        <v>54</v>
      </c>
      <c r="G865" s="1">
        <v>45547</v>
      </c>
      <c r="H865" t="s">
        <v>58</v>
      </c>
      <c r="I865" s="2" t="s">
        <v>131</v>
      </c>
      <c r="J865" s="2" t="s">
        <v>132</v>
      </c>
      <c r="K865">
        <f>IFERROR(INDEX(Sheet2!$C$2:$C$1132,MATCH(Sheet1!C865,Sheet1!$C$2:$C$1132,0)),"")</f>
        <v>25000</v>
      </c>
      <c r="L865">
        <f>IFERROR(INDEX(Sheet2!$D$2:$D$1132,MATCH(Sheet1!C865,$C$2:$C$1132,0)),"")</f>
        <v>75000</v>
      </c>
      <c r="M865" t="str">
        <f>IFERROR(INDEX($M$2:$M$1132,MATCH(B865,$B$2:$B$1132,0)),"")</f>
        <v>SQL, EXCEL, POWERBI, TABLEAU</v>
      </c>
      <c r="N865" t="s">
        <v>74</v>
      </c>
      <c r="O865" t="s">
        <v>80</v>
      </c>
    </row>
    <row r="866" spans="1:15" x14ac:dyDescent="0.25">
      <c r="A866">
        <v>18714</v>
      </c>
      <c r="B866" t="s">
        <v>14</v>
      </c>
      <c r="C866" t="s">
        <v>32</v>
      </c>
      <c r="D866" t="str">
        <f>IFERROR(INDEX(Sheet2!$B$2:$B$1132,MATCH(Sheet1!C866,Sheet1!$C$2:$C$1132,0)),"IDK")</f>
        <v>SOCIAL</v>
      </c>
      <c r="E866" t="s">
        <v>51</v>
      </c>
      <c r="F866" t="s">
        <v>54</v>
      </c>
      <c r="G866" s="1">
        <v>45581</v>
      </c>
      <c r="H866" t="s">
        <v>58</v>
      </c>
      <c r="I866" s="2" t="s">
        <v>133</v>
      </c>
      <c r="J866" s="2" t="s">
        <v>134</v>
      </c>
      <c r="K866">
        <f>IFERROR(INDEX(Sheet2!$C$2:$C$1132,MATCH(Sheet1!C866,Sheet1!$C$2:$C$1132,0)),"")</f>
        <v>20000</v>
      </c>
      <c r="L866">
        <f>IFERROR(INDEX(Sheet2!$D$2:$D$1132,MATCH(Sheet1!C866,$C$2:$C$1132,0)),"")</f>
        <v>70000</v>
      </c>
      <c r="M866" t="str">
        <f>IFERROR(INDEX($M$2:$M$1132,MATCH(B866,$B$2:$B$1132,0)),"")</f>
        <v>SQL, EXCEL, POWERBI, TABLEAU</v>
      </c>
      <c r="N866" t="s">
        <v>74</v>
      </c>
      <c r="O866" t="s">
        <v>80</v>
      </c>
    </row>
    <row r="867" spans="1:15" x14ac:dyDescent="0.25">
      <c r="A867">
        <v>18715</v>
      </c>
      <c r="B867" t="s">
        <v>14</v>
      </c>
      <c r="C867" t="s">
        <v>33</v>
      </c>
      <c r="D867" t="str">
        <f>IFERROR(INDEX(Sheet2!$B$2:$B$1132,MATCH(Sheet1!C867,Sheet1!$C$2:$C$1132,0)),"IDK")</f>
        <v>FINANCE</v>
      </c>
      <c r="E867" t="s">
        <v>51</v>
      </c>
      <c r="F867" t="s">
        <v>54</v>
      </c>
      <c r="G867" s="1">
        <v>45476</v>
      </c>
      <c r="H867" t="s">
        <v>58</v>
      </c>
      <c r="I867" s="2" t="s">
        <v>133</v>
      </c>
      <c r="J867" s="2" t="s">
        <v>135</v>
      </c>
      <c r="K867">
        <f>IFERROR(INDEX(Sheet2!$C$2:$C$1132,MATCH(Sheet1!C867,Sheet1!$C$2:$C$1132,0)),"")</f>
        <v>40000</v>
      </c>
      <c r="L867">
        <f>IFERROR(INDEX(Sheet2!$D$2:$D$1132,MATCH(Sheet1!C867,$C$2:$C$1132,0)),"")</f>
        <v>85000</v>
      </c>
      <c r="M867" t="str">
        <f>IFERROR(INDEX($M$2:$M$1132,MATCH(B867,$B$2:$B$1132,0)),"")</f>
        <v>SQL, EXCEL, POWERBI, TABLEAU</v>
      </c>
      <c r="N867" t="s">
        <v>74</v>
      </c>
      <c r="O867" t="s">
        <v>80</v>
      </c>
    </row>
    <row r="868" spans="1:15" x14ac:dyDescent="0.25">
      <c r="A868">
        <v>18716</v>
      </c>
      <c r="B868" t="s">
        <v>14</v>
      </c>
      <c r="C868" t="s">
        <v>23</v>
      </c>
      <c r="D868" t="str">
        <f>IFERROR(INDEX(Sheet2!$B$2:$B$1132,MATCH(Sheet1!C868,Sheet1!$C$2:$C$1132,0)),"IDK")</f>
        <v>IT</v>
      </c>
      <c r="E868" t="s">
        <v>51</v>
      </c>
      <c r="F868" t="s">
        <v>54</v>
      </c>
      <c r="G868" s="1">
        <v>45551</v>
      </c>
      <c r="H868" t="s">
        <v>58</v>
      </c>
      <c r="I868" s="2" t="s">
        <v>136</v>
      </c>
      <c r="J868" s="2" t="s">
        <v>137</v>
      </c>
      <c r="K868">
        <f>IFERROR(INDEX(Sheet2!$C$2:$C$1132,MATCH(Sheet1!C868,Sheet1!$C$2:$C$1132,0)),"")</f>
        <v>35000</v>
      </c>
      <c r="L868">
        <f>IFERROR(INDEX(Sheet2!$D$2:$D$1132,MATCH(Sheet1!C868,$C$2:$C$1132,0)),"")</f>
        <v>70000</v>
      </c>
      <c r="M868" t="str">
        <f>IFERROR(INDEX($M$2:$M$1132,MATCH(B868,$B$2:$B$1132,0)),"")</f>
        <v>SQL, EXCEL, POWERBI, TABLEAU</v>
      </c>
      <c r="N868" t="s">
        <v>74</v>
      </c>
      <c r="O868" t="s">
        <v>80</v>
      </c>
    </row>
    <row r="869" spans="1:15" x14ac:dyDescent="0.25">
      <c r="A869">
        <v>18717</v>
      </c>
      <c r="B869" t="s">
        <v>14</v>
      </c>
      <c r="C869" t="s">
        <v>24</v>
      </c>
      <c r="D869" t="str">
        <f>IFERROR(INDEX(Sheet2!$B$2:$B$1132,MATCH(Sheet1!C869,Sheet1!$C$2:$C$1132,0)),"IDK")</f>
        <v>HEALTH</v>
      </c>
      <c r="E869" t="s">
        <v>51</v>
      </c>
      <c r="F869" t="s">
        <v>54</v>
      </c>
      <c r="G869" s="1">
        <v>45453</v>
      </c>
      <c r="H869" t="s">
        <v>58</v>
      </c>
      <c r="I869" s="2" t="s">
        <v>138</v>
      </c>
      <c r="J869" s="2" t="s">
        <v>139</v>
      </c>
      <c r="K869">
        <f>IFERROR(INDEX(Sheet2!$C$2:$C$1132,MATCH(Sheet1!C869,Sheet1!$C$2:$C$1132,0)),"")</f>
        <v>25000</v>
      </c>
      <c r="L869">
        <f>IFERROR(INDEX(Sheet2!$D$2:$D$1132,MATCH(Sheet1!C869,$C$2:$C$1132,0)),"")</f>
        <v>50000</v>
      </c>
      <c r="M869" t="str">
        <f>IFERROR(INDEX($M$2:$M$1132,MATCH(B869,$B$2:$B$1132,0)),"")</f>
        <v>SQL, EXCEL, POWERBI, TABLEAU</v>
      </c>
      <c r="N869" t="s">
        <v>74</v>
      </c>
      <c r="O869" t="s">
        <v>80</v>
      </c>
    </row>
    <row r="870" spans="1:15" x14ac:dyDescent="0.25">
      <c r="A870">
        <v>18718</v>
      </c>
      <c r="B870" t="s">
        <v>14</v>
      </c>
      <c r="C870" t="s">
        <v>25</v>
      </c>
      <c r="D870" t="str">
        <f>IFERROR(INDEX(Sheet2!$B$2:$B$1132,MATCH(Sheet1!C870,Sheet1!$C$2:$C$1132,0)),"IDK")</f>
        <v>SOCIAL</v>
      </c>
      <c r="E870" t="s">
        <v>51</v>
      </c>
      <c r="F870" t="s">
        <v>54</v>
      </c>
      <c r="G870" s="1">
        <v>45470</v>
      </c>
      <c r="H870" t="s">
        <v>58</v>
      </c>
      <c r="I870" s="2" t="s">
        <v>140</v>
      </c>
      <c r="J870" s="2" t="s">
        <v>141</v>
      </c>
      <c r="K870">
        <f>IFERROR(INDEX(Sheet2!$C$2:$C$1132,MATCH(Sheet1!C870,Sheet1!$C$2:$C$1132,0)),"")</f>
        <v>30000</v>
      </c>
      <c r="L870">
        <f>IFERROR(INDEX(Sheet2!$D$2:$D$1132,MATCH(Sheet1!C870,$C$2:$C$1132,0)),"")</f>
        <v>60000</v>
      </c>
      <c r="M870" t="str">
        <f>IFERROR(INDEX($M$2:$M$1132,MATCH(B870,$B$2:$B$1132,0)),"")</f>
        <v>SQL, EXCEL, POWERBI, TABLEAU</v>
      </c>
      <c r="N870" t="s">
        <v>74</v>
      </c>
      <c r="O870" t="s">
        <v>80</v>
      </c>
    </row>
    <row r="871" spans="1:15" x14ac:dyDescent="0.25">
      <c r="A871">
        <v>18719</v>
      </c>
      <c r="B871" t="s">
        <v>14</v>
      </c>
      <c r="C871" t="s">
        <v>26</v>
      </c>
      <c r="D871" t="str">
        <f>IFERROR(INDEX(Sheet2!$B$2:$B$1132,MATCH(Sheet1!C871,Sheet1!$C$2:$C$1132,0)),"IDK")</f>
        <v>FINANCE</v>
      </c>
      <c r="E871" t="s">
        <v>51</v>
      </c>
      <c r="F871" t="s">
        <v>54</v>
      </c>
      <c r="G871" s="1">
        <v>45655</v>
      </c>
      <c r="H871" t="s">
        <v>58</v>
      </c>
      <c r="I871" s="2" t="s">
        <v>142</v>
      </c>
      <c r="J871" s="2" t="s">
        <v>143</v>
      </c>
      <c r="K871">
        <f>IFERROR(INDEX(Sheet2!$C$2:$C$1132,MATCH(Sheet1!C871,Sheet1!$C$2:$C$1132,0)),"")</f>
        <v>35000</v>
      </c>
      <c r="L871">
        <f>IFERROR(INDEX(Sheet2!$D$2:$D$1132,MATCH(Sheet1!C871,$C$2:$C$1132,0)),"")</f>
        <v>75000</v>
      </c>
      <c r="M871" t="str">
        <f>IFERROR(INDEX($M$2:$M$1132,MATCH(B871,$B$2:$B$1132,0)),"")</f>
        <v>SQL, EXCEL, POWERBI, TABLEAU</v>
      </c>
      <c r="N871" t="s">
        <v>74</v>
      </c>
      <c r="O871" t="s">
        <v>80</v>
      </c>
    </row>
    <row r="872" spans="1:15" x14ac:dyDescent="0.25">
      <c r="A872">
        <v>18720</v>
      </c>
      <c r="B872" t="s">
        <v>14</v>
      </c>
      <c r="C872" t="s">
        <v>27</v>
      </c>
      <c r="D872" t="str">
        <f>IFERROR(INDEX(Sheet2!$B$2:$B$1132,MATCH(Sheet1!C872,Sheet1!$C$2:$C$1132,0)),"IDK")</f>
        <v>IT</v>
      </c>
      <c r="E872" t="s">
        <v>51</v>
      </c>
      <c r="F872" t="s">
        <v>54</v>
      </c>
      <c r="G872" s="1">
        <v>45308</v>
      </c>
      <c r="H872" t="s">
        <v>58</v>
      </c>
      <c r="I872" s="2" t="s">
        <v>144</v>
      </c>
      <c r="J872" s="2" t="s">
        <v>145</v>
      </c>
      <c r="K872">
        <f>IFERROR(INDEX(Sheet2!$C$2:$C$1132,MATCH(Sheet1!C872,Sheet1!$C$2:$C$1132,0)),"")</f>
        <v>40000</v>
      </c>
      <c r="L872">
        <f>IFERROR(INDEX(Sheet2!$D$2:$D$1132,MATCH(Sheet1!C872,$C$2:$C$1132,0)),"")</f>
        <v>80000</v>
      </c>
      <c r="M872" t="str">
        <f>IFERROR(INDEX($M$2:$M$1132,MATCH(B872,$B$2:$B$1132,0)),"")</f>
        <v>SQL, EXCEL, POWERBI, TABLEAU</v>
      </c>
      <c r="N872" t="s">
        <v>74</v>
      </c>
      <c r="O872" t="s">
        <v>80</v>
      </c>
    </row>
    <row r="873" spans="1:15" x14ac:dyDescent="0.25">
      <c r="A873">
        <v>18721</v>
      </c>
      <c r="B873" t="s">
        <v>14</v>
      </c>
      <c r="C873" t="s">
        <v>28</v>
      </c>
      <c r="D873" t="str">
        <f>IFERROR(INDEX(Sheet2!$B$2:$B$1132,MATCH(Sheet1!C873,Sheet1!$C$2:$C$1132,0)),"IDK")</f>
        <v>IT</v>
      </c>
      <c r="E873" t="s">
        <v>51</v>
      </c>
      <c r="F873" t="s">
        <v>54</v>
      </c>
      <c r="G873" s="1">
        <v>45609</v>
      </c>
      <c r="H873" t="s">
        <v>58</v>
      </c>
      <c r="I873" s="2" t="s">
        <v>146</v>
      </c>
      <c r="J873" s="2" t="s">
        <v>147</v>
      </c>
      <c r="K873">
        <f>IFERROR(INDEX(Sheet2!$C$2:$C$1132,MATCH(Sheet1!C873,Sheet1!$C$2:$C$1132,0)),"")</f>
        <v>30000</v>
      </c>
      <c r="L873">
        <f>IFERROR(INDEX(Sheet2!$D$2:$D$1132,MATCH(Sheet1!C873,$C$2:$C$1132,0)),"")</f>
        <v>55000</v>
      </c>
      <c r="M873" t="str">
        <f>IFERROR(INDEX($M$2:$M$1132,MATCH(B873,$B$2:$B$1132,0)),"")</f>
        <v>SQL, EXCEL, POWERBI, TABLEAU</v>
      </c>
      <c r="N873" t="s">
        <v>74</v>
      </c>
      <c r="O873" t="s">
        <v>80</v>
      </c>
    </row>
    <row r="874" spans="1:15" x14ac:dyDescent="0.25">
      <c r="A874">
        <v>18722</v>
      </c>
      <c r="B874" t="s">
        <v>14</v>
      </c>
      <c r="C874" t="s">
        <v>29</v>
      </c>
      <c r="D874" t="str">
        <f>IFERROR(INDEX(Sheet2!$B$2:$B$1132,MATCH(Sheet1!C874,Sheet1!$C$2:$C$1132,0)),"IDK")</f>
        <v>IT</v>
      </c>
      <c r="E874" t="s">
        <v>51</v>
      </c>
      <c r="F874" t="s">
        <v>54</v>
      </c>
      <c r="G874" s="1">
        <v>45375</v>
      </c>
      <c r="H874" t="s">
        <v>58</v>
      </c>
      <c r="I874" s="2" t="s">
        <v>136</v>
      </c>
      <c r="J874" s="2" t="s">
        <v>137</v>
      </c>
      <c r="K874">
        <f>IFERROR(INDEX(Sheet2!$C$2:$C$1132,MATCH(Sheet1!C874,Sheet1!$C$2:$C$1132,0)),"")</f>
        <v>35000</v>
      </c>
      <c r="L874">
        <f>IFERROR(INDEX(Sheet2!$D$2:$D$1132,MATCH(Sheet1!C874,$C$2:$C$1132,0)),"")</f>
        <v>70000</v>
      </c>
      <c r="M874" t="str">
        <f>IFERROR(INDEX($M$2:$M$1132,MATCH(B874,$B$2:$B$1132,0)),"")</f>
        <v>SQL, EXCEL, POWERBI, TABLEAU</v>
      </c>
      <c r="N874" t="s">
        <v>74</v>
      </c>
      <c r="O874" t="s">
        <v>80</v>
      </c>
    </row>
    <row r="875" spans="1:15" x14ac:dyDescent="0.25">
      <c r="A875">
        <v>18723</v>
      </c>
      <c r="B875" t="s">
        <v>14</v>
      </c>
      <c r="C875" t="s">
        <v>23</v>
      </c>
      <c r="D875" t="str">
        <f>IFERROR(INDEX(Sheet2!$B$2:$B$1132,MATCH(Sheet1!C875,Sheet1!$C$2:$C$1132,0)),"IDK")</f>
        <v>IT</v>
      </c>
      <c r="E875" t="s">
        <v>51</v>
      </c>
      <c r="F875" t="s">
        <v>54</v>
      </c>
      <c r="G875" s="1">
        <v>45470</v>
      </c>
      <c r="H875" t="s">
        <v>58</v>
      </c>
      <c r="I875" s="2" t="s">
        <v>138</v>
      </c>
      <c r="J875" s="2" t="s">
        <v>139</v>
      </c>
      <c r="K875">
        <f>IFERROR(INDEX(Sheet2!$C$2:$C$1132,MATCH(Sheet1!C875,Sheet1!$C$2:$C$1132,0)),"")</f>
        <v>35000</v>
      </c>
      <c r="L875">
        <f>IFERROR(INDEX(Sheet2!$D$2:$D$1132,MATCH(Sheet1!C875,$C$2:$C$1132,0)),"")</f>
        <v>70000</v>
      </c>
      <c r="M875" t="str">
        <f>IFERROR(INDEX($M$2:$M$1132,MATCH(B875,$B$2:$B$1132,0)),"")</f>
        <v>SQL, EXCEL, POWERBI, TABLEAU</v>
      </c>
      <c r="N875" t="s">
        <v>74</v>
      </c>
      <c r="O875" t="s">
        <v>80</v>
      </c>
    </row>
    <row r="876" spans="1:15" x14ac:dyDescent="0.25">
      <c r="A876">
        <v>18724</v>
      </c>
      <c r="B876" t="s">
        <v>14</v>
      </c>
      <c r="C876" t="s">
        <v>30</v>
      </c>
      <c r="D876" t="str">
        <f>IFERROR(INDEX(Sheet2!$B$2:$B$1132,MATCH(Sheet1!C876,Sheet1!$C$2:$C$1132,0)),"IDK")</f>
        <v>IT</v>
      </c>
      <c r="E876" t="s">
        <v>51</v>
      </c>
      <c r="F876" t="s">
        <v>54</v>
      </c>
      <c r="G876" s="1">
        <v>45412</v>
      </c>
      <c r="H876" t="s">
        <v>58</v>
      </c>
      <c r="I876" s="2" t="s">
        <v>140</v>
      </c>
      <c r="J876" s="2" t="s">
        <v>141</v>
      </c>
      <c r="K876">
        <f>IFERROR(INDEX(Sheet2!$C$2:$C$1132,MATCH(Sheet1!C876,Sheet1!$C$2:$C$1132,0)),"")</f>
        <v>25000</v>
      </c>
      <c r="L876">
        <f>IFERROR(INDEX(Sheet2!$D$2:$D$1132,MATCH(Sheet1!C876,$C$2:$C$1132,0)),"")</f>
        <v>60000</v>
      </c>
      <c r="M876" t="str">
        <f>IFERROR(INDEX($M$2:$M$1132,MATCH(B876,$B$2:$B$1132,0)),"")</f>
        <v>SQL, EXCEL, POWERBI, TABLEAU</v>
      </c>
      <c r="N876" t="s">
        <v>74</v>
      </c>
      <c r="O876" t="s">
        <v>80</v>
      </c>
    </row>
    <row r="877" spans="1:15" x14ac:dyDescent="0.25">
      <c r="A877">
        <v>18725</v>
      </c>
      <c r="B877" t="s">
        <v>14</v>
      </c>
      <c r="C877" t="s">
        <v>31</v>
      </c>
      <c r="D877" t="str">
        <f>IFERROR(INDEX(Sheet2!$B$2:$B$1132,MATCH(Sheet1!C877,Sheet1!$C$2:$C$1132,0)),"IDK")</f>
        <v>IT</v>
      </c>
      <c r="E877" t="s">
        <v>51</v>
      </c>
      <c r="F877" t="s">
        <v>54</v>
      </c>
      <c r="G877" s="1">
        <v>45330</v>
      </c>
      <c r="H877" t="s">
        <v>58</v>
      </c>
      <c r="I877" s="2" t="s">
        <v>142</v>
      </c>
      <c r="J877" s="2" t="s">
        <v>143</v>
      </c>
      <c r="K877">
        <f>IFERROR(INDEX(Sheet2!$C$2:$C$1132,MATCH(Sheet1!C877,Sheet1!$C$2:$C$1132,0)),"")</f>
        <v>25000</v>
      </c>
      <c r="L877">
        <f>IFERROR(INDEX(Sheet2!$D$2:$D$1132,MATCH(Sheet1!C877,$C$2:$C$1132,0)),"")</f>
        <v>75000</v>
      </c>
      <c r="M877" t="str">
        <f>IFERROR(INDEX($M$2:$M$1132,MATCH(B877,$B$2:$B$1132,0)),"")</f>
        <v>SQL, EXCEL, POWERBI, TABLEAU</v>
      </c>
      <c r="N877" t="s">
        <v>74</v>
      </c>
      <c r="O877" t="s">
        <v>80</v>
      </c>
    </row>
    <row r="878" spans="1:15" x14ac:dyDescent="0.25">
      <c r="A878">
        <v>18726</v>
      </c>
      <c r="B878" t="s">
        <v>14</v>
      </c>
      <c r="C878" t="s">
        <v>32</v>
      </c>
      <c r="D878" t="str">
        <f>IFERROR(INDEX(Sheet2!$B$2:$B$1132,MATCH(Sheet1!C878,Sheet1!$C$2:$C$1132,0)),"IDK")</f>
        <v>SOCIAL</v>
      </c>
      <c r="E878" t="s">
        <v>51</v>
      </c>
      <c r="F878" t="s">
        <v>54</v>
      </c>
      <c r="G878" s="1">
        <v>45504</v>
      </c>
      <c r="H878" t="s">
        <v>58</v>
      </c>
      <c r="I878" s="2" t="s">
        <v>144</v>
      </c>
      <c r="J878" s="2" t="s">
        <v>145</v>
      </c>
      <c r="K878">
        <f>IFERROR(INDEX(Sheet2!$C$2:$C$1132,MATCH(Sheet1!C878,Sheet1!$C$2:$C$1132,0)),"")</f>
        <v>20000</v>
      </c>
      <c r="L878">
        <f>IFERROR(INDEX(Sheet2!$D$2:$D$1132,MATCH(Sheet1!C878,$C$2:$C$1132,0)),"")</f>
        <v>70000</v>
      </c>
      <c r="M878" t="str">
        <f>IFERROR(INDEX($M$2:$M$1132,MATCH(B878,$B$2:$B$1132,0)),"")</f>
        <v>SQL, EXCEL, POWERBI, TABLEAU</v>
      </c>
      <c r="N878" t="s">
        <v>74</v>
      </c>
      <c r="O878" t="s">
        <v>80</v>
      </c>
    </row>
    <row r="879" spans="1:15" x14ac:dyDescent="0.25">
      <c r="A879">
        <v>18727</v>
      </c>
      <c r="B879" t="s">
        <v>14</v>
      </c>
      <c r="C879" t="s">
        <v>33</v>
      </c>
      <c r="D879" t="str">
        <f>IFERROR(INDEX(Sheet2!$B$2:$B$1132,MATCH(Sheet1!C879,Sheet1!$C$2:$C$1132,0)),"IDK")</f>
        <v>FINANCE</v>
      </c>
      <c r="E879" t="s">
        <v>51</v>
      </c>
      <c r="F879" t="s">
        <v>54</v>
      </c>
      <c r="G879" s="1">
        <v>45600</v>
      </c>
      <c r="H879" t="s">
        <v>58</v>
      </c>
      <c r="I879" s="2" t="s">
        <v>146</v>
      </c>
      <c r="J879" s="2" t="s">
        <v>147</v>
      </c>
      <c r="K879">
        <f>IFERROR(INDEX(Sheet2!$C$2:$C$1132,MATCH(Sheet1!C879,Sheet1!$C$2:$C$1132,0)),"")</f>
        <v>40000</v>
      </c>
      <c r="L879">
        <f>IFERROR(INDEX(Sheet2!$D$2:$D$1132,MATCH(Sheet1!C879,$C$2:$C$1132,0)),"")</f>
        <v>85000</v>
      </c>
      <c r="M879" t="str">
        <f>IFERROR(INDEX($M$2:$M$1132,MATCH(B879,$B$2:$B$1132,0)),"")</f>
        <v>SQL, EXCEL, POWERBI, TABLEAU</v>
      </c>
      <c r="N879" t="s">
        <v>74</v>
      </c>
      <c r="O879" t="s">
        <v>80</v>
      </c>
    </row>
    <row r="880" spans="1:15" x14ac:dyDescent="0.25">
      <c r="A880">
        <v>18728</v>
      </c>
      <c r="B880" t="s">
        <v>14</v>
      </c>
      <c r="C880" t="s">
        <v>24</v>
      </c>
      <c r="D880" t="str">
        <f>IFERROR(INDEX(Sheet2!$B$2:$B$1132,MATCH(Sheet1!C880,Sheet1!$C$2:$C$1132,0)),"IDK")</f>
        <v>HEALTH</v>
      </c>
      <c r="E880" t="s">
        <v>51</v>
      </c>
      <c r="F880" t="s">
        <v>54</v>
      </c>
      <c r="G880" s="1">
        <v>45558</v>
      </c>
      <c r="H880" t="s">
        <v>58</v>
      </c>
      <c r="I880" s="2" t="s">
        <v>129</v>
      </c>
      <c r="J880" s="2" t="s">
        <v>130</v>
      </c>
      <c r="K880">
        <f>IFERROR(INDEX(Sheet2!$C$2:$C$1132,MATCH(Sheet1!C880,Sheet1!$C$2:$C$1132,0)),"")</f>
        <v>25000</v>
      </c>
      <c r="L880">
        <f>IFERROR(INDEX(Sheet2!$D$2:$D$1132,MATCH(Sheet1!C880,$C$2:$C$1132,0)),"")</f>
        <v>50000</v>
      </c>
      <c r="M880" t="str">
        <f>IFERROR(INDEX($M$2:$M$1132,MATCH(B880,$B$2:$B$1132,0)),"")</f>
        <v>SQL, EXCEL, POWERBI, TABLEAU</v>
      </c>
      <c r="N880" t="s">
        <v>74</v>
      </c>
      <c r="O880" t="s">
        <v>80</v>
      </c>
    </row>
    <row r="881" spans="1:15" x14ac:dyDescent="0.25">
      <c r="A881">
        <v>18729</v>
      </c>
      <c r="B881" t="s">
        <v>14</v>
      </c>
      <c r="C881" t="s">
        <v>25</v>
      </c>
      <c r="D881" t="str">
        <f>IFERROR(INDEX(Sheet2!$B$2:$B$1132,MATCH(Sheet1!C881,Sheet1!$C$2:$C$1132,0)),"IDK")</f>
        <v>SOCIAL</v>
      </c>
      <c r="E881" t="s">
        <v>51</v>
      </c>
      <c r="F881" t="s">
        <v>54</v>
      </c>
      <c r="G881" s="1">
        <v>45301</v>
      </c>
      <c r="H881" t="s">
        <v>58</v>
      </c>
      <c r="I881" s="2" t="s">
        <v>131</v>
      </c>
      <c r="J881" s="2" t="s">
        <v>132</v>
      </c>
      <c r="K881">
        <f>IFERROR(INDEX(Sheet2!$C$2:$C$1132,MATCH(Sheet1!C881,Sheet1!$C$2:$C$1132,0)),"")</f>
        <v>30000</v>
      </c>
      <c r="L881">
        <f>IFERROR(INDEX(Sheet2!$D$2:$D$1132,MATCH(Sheet1!C881,$C$2:$C$1132,0)),"")</f>
        <v>60000</v>
      </c>
      <c r="M881" t="str">
        <f>IFERROR(INDEX($M$2:$M$1132,MATCH(B881,$B$2:$B$1132,0)),"")</f>
        <v>SQL, EXCEL, POWERBI, TABLEAU</v>
      </c>
      <c r="N881" t="s">
        <v>74</v>
      </c>
      <c r="O881" t="s">
        <v>80</v>
      </c>
    </row>
    <row r="882" spans="1:15" x14ac:dyDescent="0.25">
      <c r="A882">
        <v>18730</v>
      </c>
      <c r="B882" t="s">
        <v>14</v>
      </c>
      <c r="C882" t="s">
        <v>26</v>
      </c>
      <c r="D882" t="str">
        <f>IFERROR(INDEX(Sheet2!$B$2:$B$1132,MATCH(Sheet1!C882,Sheet1!$C$2:$C$1132,0)),"IDK")</f>
        <v>FINANCE</v>
      </c>
      <c r="E882" t="s">
        <v>51</v>
      </c>
      <c r="F882" t="s">
        <v>54</v>
      </c>
      <c r="G882" s="1">
        <v>45360</v>
      </c>
      <c r="H882" t="s">
        <v>58</v>
      </c>
      <c r="I882" s="2" t="s">
        <v>133</v>
      </c>
      <c r="J882" s="2" t="s">
        <v>134</v>
      </c>
      <c r="K882">
        <f>IFERROR(INDEX(Sheet2!$C$2:$C$1132,MATCH(Sheet1!C882,Sheet1!$C$2:$C$1132,0)),"")</f>
        <v>35000</v>
      </c>
      <c r="L882">
        <f>IFERROR(INDEX(Sheet2!$D$2:$D$1132,MATCH(Sheet1!C882,$C$2:$C$1132,0)),"")</f>
        <v>75000</v>
      </c>
      <c r="M882" t="str">
        <f>IFERROR(INDEX($M$2:$M$1132,MATCH(B882,$B$2:$B$1132,0)),"")</f>
        <v>SQL, EXCEL, POWERBI, TABLEAU</v>
      </c>
      <c r="N882" t="s">
        <v>74</v>
      </c>
      <c r="O882" t="s">
        <v>80</v>
      </c>
    </row>
    <row r="883" spans="1:15" x14ac:dyDescent="0.25">
      <c r="A883">
        <v>18731</v>
      </c>
      <c r="B883" t="s">
        <v>14</v>
      </c>
      <c r="C883" t="s">
        <v>27</v>
      </c>
      <c r="D883" t="str">
        <f>IFERROR(INDEX(Sheet2!$B$2:$B$1132,MATCH(Sheet1!C883,Sheet1!$C$2:$C$1132,0)),"IDK")</f>
        <v>IT</v>
      </c>
      <c r="E883" t="s">
        <v>51</v>
      </c>
      <c r="F883" t="s">
        <v>54</v>
      </c>
      <c r="G883" s="1">
        <v>45308</v>
      </c>
      <c r="H883" t="s">
        <v>58</v>
      </c>
      <c r="I883" s="2" t="s">
        <v>133</v>
      </c>
      <c r="J883" s="2" t="s">
        <v>135</v>
      </c>
      <c r="K883">
        <f>IFERROR(INDEX(Sheet2!$C$2:$C$1132,MATCH(Sheet1!C883,Sheet1!$C$2:$C$1132,0)),"")</f>
        <v>40000</v>
      </c>
      <c r="L883">
        <f>IFERROR(INDEX(Sheet2!$D$2:$D$1132,MATCH(Sheet1!C883,$C$2:$C$1132,0)),"")</f>
        <v>80000</v>
      </c>
      <c r="M883" t="str">
        <f>IFERROR(INDEX($M$2:$M$1132,MATCH(B883,$B$2:$B$1132,0)),"")</f>
        <v>SQL, EXCEL, POWERBI, TABLEAU</v>
      </c>
      <c r="N883" t="s">
        <v>74</v>
      </c>
      <c r="O883" t="s">
        <v>80</v>
      </c>
    </row>
    <row r="884" spans="1:15" x14ac:dyDescent="0.25">
      <c r="A884">
        <v>18732</v>
      </c>
      <c r="B884" t="s">
        <v>14</v>
      </c>
      <c r="C884" t="s">
        <v>28</v>
      </c>
      <c r="D884" t="str">
        <f>IFERROR(INDEX(Sheet2!$B$2:$B$1132,MATCH(Sheet1!C884,Sheet1!$C$2:$C$1132,0)),"IDK")</f>
        <v>IT</v>
      </c>
      <c r="E884" t="s">
        <v>51</v>
      </c>
      <c r="F884" t="s">
        <v>54</v>
      </c>
      <c r="G884" s="1">
        <v>45556</v>
      </c>
      <c r="H884" t="s">
        <v>58</v>
      </c>
      <c r="I884" s="2" t="s">
        <v>136</v>
      </c>
      <c r="J884" s="2" t="s">
        <v>137</v>
      </c>
      <c r="K884">
        <f>IFERROR(INDEX(Sheet2!$C$2:$C$1132,MATCH(Sheet1!C884,Sheet1!$C$2:$C$1132,0)),"")</f>
        <v>30000</v>
      </c>
      <c r="L884">
        <f>IFERROR(INDEX(Sheet2!$D$2:$D$1132,MATCH(Sheet1!C884,$C$2:$C$1132,0)),"")</f>
        <v>55000</v>
      </c>
      <c r="M884" t="str">
        <f>IFERROR(INDEX($M$2:$M$1132,MATCH(B884,$B$2:$B$1132,0)),"")</f>
        <v>SQL, EXCEL, POWERBI, TABLEAU</v>
      </c>
      <c r="N884" t="s">
        <v>74</v>
      </c>
      <c r="O884" t="s">
        <v>80</v>
      </c>
    </row>
    <row r="885" spans="1:15" x14ac:dyDescent="0.25">
      <c r="A885">
        <v>18733</v>
      </c>
      <c r="B885" t="s">
        <v>14</v>
      </c>
      <c r="C885" t="s">
        <v>29</v>
      </c>
      <c r="D885" t="str">
        <f>IFERROR(INDEX(Sheet2!$B$2:$B$1132,MATCH(Sheet1!C885,Sheet1!$C$2:$C$1132,0)),"IDK")</f>
        <v>IT</v>
      </c>
      <c r="E885" t="s">
        <v>51</v>
      </c>
      <c r="F885" t="s">
        <v>54</v>
      </c>
      <c r="G885" s="1">
        <v>45451</v>
      </c>
      <c r="H885" t="s">
        <v>58</v>
      </c>
      <c r="I885" s="2" t="s">
        <v>138</v>
      </c>
      <c r="J885" s="2" t="s">
        <v>139</v>
      </c>
      <c r="K885">
        <f>IFERROR(INDEX(Sheet2!$C$2:$C$1132,MATCH(Sheet1!C885,Sheet1!$C$2:$C$1132,0)),"")</f>
        <v>35000</v>
      </c>
      <c r="L885">
        <f>IFERROR(INDEX(Sheet2!$D$2:$D$1132,MATCH(Sheet1!C885,$C$2:$C$1132,0)),"")</f>
        <v>70000</v>
      </c>
      <c r="M885" t="str">
        <f>IFERROR(INDEX($M$2:$M$1132,MATCH(B885,$B$2:$B$1132,0)),"")</f>
        <v>SQL, EXCEL, POWERBI, TABLEAU</v>
      </c>
      <c r="N885" t="s">
        <v>74</v>
      </c>
      <c r="O885" t="s">
        <v>80</v>
      </c>
    </row>
    <row r="886" spans="1:15" x14ac:dyDescent="0.25">
      <c r="A886">
        <v>18734</v>
      </c>
      <c r="B886" t="s">
        <v>14</v>
      </c>
      <c r="C886" t="s">
        <v>23</v>
      </c>
      <c r="D886" t="str">
        <f>IFERROR(INDEX(Sheet2!$B$2:$B$1132,MATCH(Sheet1!C886,Sheet1!$C$2:$C$1132,0)),"IDK")</f>
        <v>IT</v>
      </c>
      <c r="E886" t="s">
        <v>51</v>
      </c>
      <c r="F886" t="s">
        <v>54</v>
      </c>
      <c r="G886" s="1">
        <v>45350</v>
      </c>
      <c r="H886" t="s">
        <v>58</v>
      </c>
      <c r="I886" s="2" t="s">
        <v>140</v>
      </c>
      <c r="J886" s="2" t="s">
        <v>141</v>
      </c>
      <c r="K886">
        <f>IFERROR(INDEX(Sheet2!$C$2:$C$1132,MATCH(Sheet1!C886,Sheet1!$C$2:$C$1132,0)),"")</f>
        <v>35000</v>
      </c>
      <c r="L886">
        <f>IFERROR(INDEX(Sheet2!$D$2:$D$1132,MATCH(Sheet1!C886,$C$2:$C$1132,0)),"")</f>
        <v>70000</v>
      </c>
      <c r="M886" t="str">
        <f>IFERROR(INDEX($M$2:$M$1132,MATCH(B886,$B$2:$B$1132,0)),"")</f>
        <v>SQL, EXCEL, POWERBI, TABLEAU</v>
      </c>
      <c r="N886" t="s">
        <v>74</v>
      </c>
      <c r="O886" t="s">
        <v>80</v>
      </c>
    </row>
    <row r="887" spans="1:15" x14ac:dyDescent="0.25">
      <c r="A887">
        <v>18735</v>
      </c>
      <c r="B887" t="s">
        <v>14</v>
      </c>
      <c r="C887" t="s">
        <v>30</v>
      </c>
      <c r="D887" t="str">
        <f>IFERROR(INDEX(Sheet2!$B$2:$B$1132,MATCH(Sheet1!C887,Sheet1!$C$2:$C$1132,0)),"IDK")</f>
        <v>IT</v>
      </c>
      <c r="E887" t="s">
        <v>51</v>
      </c>
      <c r="F887" t="s">
        <v>54</v>
      </c>
      <c r="G887" s="1">
        <v>45323</v>
      </c>
      <c r="H887" t="s">
        <v>58</v>
      </c>
      <c r="I887" s="2" t="s">
        <v>140</v>
      </c>
      <c r="J887" s="2" t="s">
        <v>141</v>
      </c>
      <c r="K887">
        <f>IFERROR(INDEX(Sheet2!$C$2:$C$1132,MATCH(Sheet1!C887,Sheet1!$C$2:$C$1132,0)),"")</f>
        <v>25000</v>
      </c>
      <c r="L887">
        <f>IFERROR(INDEX(Sheet2!$D$2:$D$1132,MATCH(Sheet1!C887,$C$2:$C$1132,0)),"")</f>
        <v>60000</v>
      </c>
      <c r="M887" t="str">
        <f>IFERROR(INDEX($M$2:$M$1132,MATCH(B887,$B$2:$B$1132,0)),"")</f>
        <v>SQL, EXCEL, POWERBI, TABLEAU</v>
      </c>
      <c r="N887" t="s">
        <v>74</v>
      </c>
      <c r="O887" t="s">
        <v>80</v>
      </c>
    </row>
    <row r="888" spans="1:15" x14ac:dyDescent="0.25">
      <c r="A888">
        <v>18736</v>
      </c>
      <c r="B888" t="s">
        <v>14</v>
      </c>
      <c r="C888" t="s">
        <v>31</v>
      </c>
      <c r="D888" t="str">
        <f>IFERROR(INDEX(Sheet2!$B$2:$B$1132,MATCH(Sheet1!C888,Sheet1!$C$2:$C$1132,0)),"IDK")</f>
        <v>IT</v>
      </c>
      <c r="E888" t="s">
        <v>51</v>
      </c>
      <c r="F888" t="s">
        <v>54</v>
      </c>
      <c r="G888" s="1">
        <v>45626</v>
      </c>
      <c r="H888" t="s">
        <v>58</v>
      </c>
      <c r="I888" s="2" t="s">
        <v>140</v>
      </c>
      <c r="J888" s="2" t="s">
        <v>141</v>
      </c>
      <c r="K888">
        <f>IFERROR(INDEX(Sheet2!$C$2:$C$1132,MATCH(Sheet1!C888,Sheet1!$C$2:$C$1132,0)),"")</f>
        <v>25000</v>
      </c>
      <c r="L888">
        <f>IFERROR(INDEX(Sheet2!$D$2:$D$1132,MATCH(Sheet1!C888,$C$2:$C$1132,0)),"")</f>
        <v>75000</v>
      </c>
      <c r="M888" t="str">
        <f>IFERROR(INDEX($M$2:$M$1132,MATCH(B888,$B$2:$B$1132,0)),"")</f>
        <v>SQL, EXCEL, POWERBI, TABLEAU</v>
      </c>
      <c r="N888" t="s">
        <v>74</v>
      </c>
      <c r="O888" t="s">
        <v>80</v>
      </c>
    </row>
    <row r="889" spans="1:15" x14ac:dyDescent="0.25">
      <c r="A889">
        <v>18737</v>
      </c>
      <c r="B889" t="s">
        <v>14</v>
      </c>
      <c r="C889" t="s">
        <v>32</v>
      </c>
      <c r="D889" t="str">
        <f>IFERROR(INDEX(Sheet2!$B$2:$B$1132,MATCH(Sheet1!C889,Sheet1!$C$2:$C$1132,0)),"IDK")</f>
        <v>SOCIAL</v>
      </c>
      <c r="E889" t="s">
        <v>51</v>
      </c>
      <c r="F889" t="s">
        <v>54</v>
      </c>
      <c r="G889" s="1">
        <v>45415</v>
      </c>
      <c r="H889" t="s">
        <v>58</v>
      </c>
      <c r="I889" s="2" t="s">
        <v>140</v>
      </c>
      <c r="J889" s="2" t="s">
        <v>141</v>
      </c>
      <c r="K889">
        <f>IFERROR(INDEX(Sheet2!$C$2:$C$1132,MATCH(Sheet1!C889,Sheet1!$C$2:$C$1132,0)),"")</f>
        <v>20000</v>
      </c>
      <c r="L889">
        <f>IFERROR(INDEX(Sheet2!$D$2:$D$1132,MATCH(Sheet1!C889,$C$2:$C$1132,0)),"")</f>
        <v>70000</v>
      </c>
      <c r="M889" t="str">
        <f>IFERROR(INDEX($M$2:$M$1132,MATCH(B889,$B$2:$B$1132,0)),"")</f>
        <v>SQL, EXCEL, POWERBI, TABLEAU</v>
      </c>
      <c r="N889" t="s">
        <v>74</v>
      </c>
      <c r="O889" t="s">
        <v>80</v>
      </c>
    </row>
    <row r="890" spans="1:15" x14ac:dyDescent="0.25">
      <c r="A890">
        <v>18738</v>
      </c>
      <c r="B890" t="s">
        <v>14</v>
      </c>
      <c r="C890" t="s">
        <v>33</v>
      </c>
      <c r="D890" t="str">
        <f>IFERROR(INDEX(Sheet2!$B$2:$B$1132,MATCH(Sheet1!C890,Sheet1!$C$2:$C$1132,0)),"IDK")</f>
        <v>FINANCE</v>
      </c>
      <c r="E890" t="s">
        <v>51</v>
      </c>
      <c r="F890" t="s">
        <v>54</v>
      </c>
      <c r="G890" s="1">
        <v>45582</v>
      </c>
      <c r="H890" t="s">
        <v>58</v>
      </c>
      <c r="I890" s="2" t="s">
        <v>140</v>
      </c>
      <c r="J890" s="2" t="s">
        <v>141</v>
      </c>
      <c r="K890">
        <f>IFERROR(INDEX(Sheet2!$C$2:$C$1132,MATCH(Sheet1!C890,Sheet1!$C$2:$C$1132,0)),"")</f>
        <v>40000</v>
      </c>
      <c r="L890">
        <f>IFERROR(INDEX(Sheet2!$D$2:$D$1132,MATCH(Sheet1!C890,$C$2:$C$1132,0)),"")</f>
        <v>85000</v>
      </c>
      <c r="M890" t="str">
        <f>IFERROR(INDEX($M$2:$M$1132,MATCH(B890,$B$2:$B$1132,0)),"")</f>
        <v>SQL, EXCEL, POWERBI, TABLEAU</v>
      </c>
      <c r="N890" t="s">
        <v>74</v>
      </c>
      <c r="O890" t="s">
        <v>80</v>
      </c>
    </row>
    <row r="891" spans="1:15" x14ac:dyDescent="0.25">
      <c r="A891">
        <v>18739</v>
      </c>
      <c r="B891" t="s">
        <v>14</v>
      </c>
      <c r="C891" t="s">
        <v>34</v>
      </c>
      <c r="D891" t="str">
        <f>IFERROR(INDEX(Sheet2!$B$2:$B$1132,MATCH(Sheet1!C891,Sheet1!$C$2:$C$1132,0)),"IDK")</f>
        <v>IT</v>
      </c>
      <c r="E891" t="s">
        <v>51</v>
      </c>
      <c r="F891" t="s">
        <v>54</v>
      </c>
      <c r="G891" s="1">
        <v>45483</v>
      </c>
      <c r="H891" t="s">
        <v>58</v>
      </c>
      <c r="I891" s="2" t="s">
        <v>136</v>
      </c>
      <c r="J891" s="2" t="s">
        <v>137</v>
      </c>
      <c r="K891">
        <f>IFERROR(INDEX(Sheet2!$C$2:$C$1132,MATCH(Sheet1!C891,Sheet1!$C$2:$C$1132,0)),"")</f>
        <v>35000</v>
      </c>
      <c r="L891">
        <f>IFERROR(INDEX(Sheet2!$D$2:$D$1132,MATCH(Sheet1!C891,$C$2:$C$1132,0)),"")</f>
        <v>90000</v>
      </c>
      <c r="M891" t="str">
        <f>IFERROR(INDEX($M$2:$M$1132,MATCH(B891,$B$2:$B$1132,0)),"")</f>
        <v>SQL, EXCEL, POWERBI, TABLEAU</v>
      </c>
      <c r="N891" t="s">
        <v>74</v>
      </c>
      <c r="O891" t="s">
        <v>80</v>
      </c>
    </row>
    <row r="892" spans="1:15" x14ac:dyDescent="0.25">
      <c r="A892">
        <v>18740</v>
      </c>
      <c r="B892" t="s">
        <v>14</v>
      </c>
      <c r="C892" t="s">
        <v>35</v>
      </c>
      <c r="D892" t="str">
        <f>IFERROR(INDEX(Sheet2!$B$2:$B$1132,MATCH(Sheet1!C892,Sheet1!$C$2:$C$1132,0)),"IDK")</f>
        <v>SOCIAL</v>
      </c>
      <c r="E892" t="s">
        <v>51</v>
      </c>
      <c r="F892" t="s">
        <v>54</v>
      </c>
      <c r="G892" s="1">
        <v>45625</v>
      </c>
      <c r="H892" t="s">
        <v>58</v>
      </c>
      <c r="I892" s="2" t="s">
        <v>136</v>
      </c>
      <c r="J892" s="2" t="s">
        <v>137</v>
      </c>
      <c r="K892">
        <f>IFERROR(INDEX(Sheet2!$C$2:$C$1132,MATCH(Sheet1!C892,Sheet1!$C$2:$C$1132,0)),"")</f>
        <v>30000</v>
      </c>
      <c r="L892">
        <f>IFERROR(INDEX(Sheet2!$D$2:$D$1132,MATCH(Sheet1!C892,$C$2:$C$1132,0)),"")</f>
        <v>95000</v>
      </c>
      <c r="M892" t="str">
        <f>IFERROR(INDEX($M$2:$M$1132,MATCH(B892,$B$2:$B$1132,0)),"")</f>
        <v>SQL, EXCEL, POWERBI, TABLEAU</v>
      </c>
      <c r="N892" t="s">
        <v>74</v>
      </c>
      <c r="O892" t="s">
        <v>80</v>
      </c>
    </row>
    <row r="893" spans="1:15" x14ac:dyDescent="0.25">
      <c r="A893">
        <v>18741</v>
      </c>
      <c r="B893" t="s">
        <v>14</v>
      </c>
      <c r="C893" t="s">
        <v>36</v>
      </c>
      <c r="D893" t="str">
        <f>IFERROR(INDEX(Sheet2!$B$2:$B$1132,MATCH(Sheet1!C893,Sheet1!$C$2:$C$1132,0)),"IDK")</f>
        <v>IT</v>
      </c>
      <c r="E893" t="s">
        <v>51</v>
      </c>
      <c r="F893" t="s">
        <v>54</v>
      </c>
      <c r="G893" s="1">
        <v>45355</v>
      </c>
      <c r="H893" t="s">
        <v>58</v>
      </c>
      <c r="I893" s="2" t="s">
        <v>136</v>
      </c>
      <c r="J893" s="2" t="s">
        <v>137</v>
      </c>
      <c r="K893">
        <f>IFERROR(INDEX(Sheet2!$C$2:$C$1132,MATCH(Sheet1!C893,Sheet1!$C$2:$C$1132,0)),"")</f>
        <v>50000</v>
      </c>
      <c r="L893">
        <f>IFERROR(INDEX(Sheet2!$D$2:$D$1132,MATCH(Sheet1!C893,$C$2:$C$1132,0)),"")</f>
        <v>100000</v>
      </c>
      <c r="M893" t="str">
        <f>IFERROR(INDEX($M$2:$M$1132,MATCH(B893,$B$2:$B$1132,0)),"")</f>
        <v>SQL, EXCEL, POWERBI, TABLEAU</v>
      </c>
      <c r="N893" t="s">
        <v>74</v>
      </c>
      <c r="O893" t="s">
        <v>80</v>
      </c>
    </row>
    <row r="894" spans="1:15" x14ac:dyDescent="0.25">
      <c r="A894">
        <v>18742</v>
      </c>
      <c r="B894" t="s">
        <v>14</v>
      </c>
      <c r="C894" t="s">
        <v>27</v>
      </c>
      <c r="D894" t="str">
        <f>IFERROR(INDEX(Sheet2!$B$2:$B$1132,MATCH(Sheet1!C894,Sheet1!$C$2:$C$1132,0)),"IDK")</f>
        <v>IT</v>
      </c>
      <c r="E894" t="s">
        <v>51</v>
      </c>
      <c r="F894" t="s">
        <v>54</v>
      </c>
      <c r="G894" s="1">
        <v>45438</v>
      </c>
      <c r="H894" t="s">
        <v>58</v>
      </c>
      <c r="I894" s="2" t="s">
        <v>131</v>
      </c>
      <c r="J894" s="2" t="s">
        <v>132</v>
      </c>
      <c r="K894">
        <f>IFERROR(INDEX(Sheet2!$C$2:$C$1132,MATCH(Sheet1!C894,Sheet1!$C$2:$C$1132,0)),"")</f>
        <v>40000</v>
      </c>
      <c r="L894">
        <f>IFERROR(INDEX(Sheet2!$D$2:$D$1132,MATCH(Sheet1!C894,$C$2:$C$1132,0)),"")</f>
        <v>80000</v>
      </c>
      <c r="M894" t="str">
        <f>IFERROR(INDEX($M$2:$M$1132,MATCH(B894,$B$2:$B$1132,0)),"")</f>
        <v>SQL, EXCEL, POWERBI, TABLEAU</v>
      </c>
      <c r="N894" t="s">
        <v>74</v>
      </c>
      <c r="O894" t="s">
        <v>80</v>
      </c>
    </row>
    <row r="895" spans="1:15" x14ac:dyDescent="0.25">
      <c r="A895">
        <v>18743</v>
      </c>
      <c r="B895" t="s">
        <v>14</v>
      </c>
      <c r="C895" t="s">
        <v>28</v>
      </c>
      <c r="D895" t="str">
        <f>IFERROR(INDEX(Sheet2!$B$2:$B$1132,MATCH(Sheet1!C895,Sheet1!$C$2:$C$1132,0)),"IDK")</f>
        <v>IT</v>
      </c>
      <c r="E895" t="s">
        <v>51</v>
      </c>
      <c r="F895" t="s">
        <v>54</v>
      </c>
      <c r="G895" s="1">
        <v>45394</v>
      </c>
      <c r="H895" t="s">
        <v>58</v>
      </c>
      <c r="I895" s="2" t="s">
        <v>131</v>
      </c>
      <c r="J895" s="2" t="s">
        <v>132</v>
      </c>
      <c r="K895">
        <f>IFERROR(INDEX(Sheet2!$C$2:$C$1132,MATCH(Sheet1!C895,Sheet1!$C$2:$C$1132,0)),"")</f>
        <v>30000</v>
      </c>
      <c r="L895">
        <f>IFERROR(INDEX(Sheet2!$D$2:$D$1132,MATCH(Sheet1!C895,$C$2:$C$1132,0)),"")</f>
        <v>55000</v>
      </c>
      <c r="M895" t="str">
        <f>IFERROR(INDEX($M$2:$M$1132,MATCH(B895,$B$2:$B$1132,0)),"")</f>
        <v>SQL, EXCEL, POWERBI, TABLEAU</v>
      </c>
      <c r="N895" t="s">
        <v>74</v>
      </c>
      <c r="O895" t="s">
        <v>80</v>
      </c>
    </row>
    <row r="896" spans="1:15" x14ac:dyDescent="0.25">
      <c r="A896">
        <v>18744</v>
      </c>
      <c r="B896" t="s">
        <v>14</v>
      </c>
      <c r="C896" t="s">
        <v>29</v>
      </c>
      <c r="D896" t="str">
        <f>IFERROR(INDEX(Sheet2!$B$2:$B$1132,MATCH(Sheet1!C896,Sheet1!$C$2:$C$1132,0)),"IDK")</f>
        <v>IT</v>
      </c>
      <c r="E896" t="s">
        <v>51</v>
      </c>
      <c r="F896" t="s">
        <v>54</v>
      </c>
      <c r="G896" s="1">
        <v>45590</v>
      </c>
      <c r="H896" t="s">
        <v>58</v>
      </c>
      <c r="I896" s="2" t="s">
        <v>131</v>
      </c>
      <c r="J896" s="2" t="s">
        <v>132</v>
      </c>
      <c r="K896">
        <f>IFERROR(INDEX(Sheet2!$C$2:$C$1132,MATCH(Sheet1!C896,Sheet1!$C$2:$C$1132,0)),"")</f>
        <v>35000</v>
      </c>
      <c r="L896">
        <f>IFERROR(INDEX(Sheet2!$D$2:$D$1132,MATCH(Sheet1!C896,$C$2:$C$1132,0)),"")</f>
        <v>70000</v>
      </c>
      <c r="M896" t="str">
        <f>IFERROR(INDEX($M$2:$M$1132,MATCH(B896,$B$2:$B$1132,0)),"")</f>
        <v>SQL, EXCEL, POWERBI, TABLEAU</v>
      </c>
      <c r="N896" t="s">
        <v>74</v>
      </c>
      <c r="O896" t="s">
        <v>80</v>
      </c>
    </row>
    <row r="897" spans="1:15" x14ac:dyDescent="0.25">
      <c r="A897">
        <v>18745</v>
      </c>
      <c r="B897" t="s">
        <v>14</v>
      </c>
      <c r="C897" t="s">
        <v>23</v>
      </c>
      <c r="D897" t="str">
        <f>IFERROR(INDEX(Sheet2!$B$2:$B$1132,MATCH(Sheet1!C897,Sheet1!$C$2:$C$1132,0)),"IDK")</f>
        <v>IT</v>
      </c>
      <c r="E897" t="s">
        <v>51</v>
      </c>
      <c r="F897" t="s">
        <v>54</v>
      </c>
      <c r="G897" s="1">
        <v>45537</v>
      </c>
      <c r="H897" t="s">
        <v>58</v>
      </c>
      <c r="I897" s="2" t="s">
        <v>129</v>
      </c>
      <c r="J897" s="2" t="s">
        <v>130</v>
      </c>
      <c r="K897">
        <f>IFERROR(INDEX(Sheet2!$C$2:$C$1132,MATCH(Sheet1!C897,Sheet1!$C$2:$C$1132,0)),"")</f>
        <v>35000</v>
      </c>
      <c r="L897">
        <f>IFERROR(INDEX(Sheet2!$D$2:$D$1132,MATCH(Sheet1!C897,$C$2:$C$1132,0)),"")</f>
        <v>70000</v>
      </c>
      <c r="M897" t="str">
        <f>IFERROR(INDEX($M$2:$M$1132,MATCH(B897,$B$2:$B$1132,0)),"")</f>
        <v>SQL, EXCEL, POWERBI, TABLEAU</v>
      </c>
      <c r="N897" t="s">
        <v>74</v>
      </c>
      <c r="O897" t="s">
        <v>80</v>
      </c>
    </row>
    <row r="898" spans="1:15" x14ac:dyDescent="0.25">
      <c r="A898">
        <v>18746</v>
      </c>
      <c r="B898" t="s">
        <v>14</v>
      </c>
      <c r="C898" t="s">
        <v>30</v>
      </c>
      <c r="D898" t="str">
        <f>IFERROR(INDEX(Sheet2!$B$2:$B$1132,MATCH(Sheet1!C898,Sheet1!$C$2:$C$1132,0)),"IDK")</f>
        <v>IT</v>
      </c>
      <c r="E898" t="s">
        <v>51</v>
      </c>
      <c r="F898" t="s">
        <v>54</v>
      </c>
      <c r="G898" s="1">
        <v>45364</v>
      </c>
      <c r="H898" t="s">
        <v>58</v>
      </c>
      <c r="I898" s="2" t="s">
        <v>129</v>
      </c>
      <c r="J898" s="2" t="s">
        <v>130</v>
      </c>
      <c r="K898">
        <f>IFERROR(INDEX(Sheet2!$C$2:$C$1132,MATCH(Sheet1!C898,Sheet1!$C$2:$C$1132,0)),"")</f>
        <v>25000</v>
      </c>
      <c r="L898">
        <f>IFERROR(INDEX(Sheet2!$D$2:$D$1132,MATCH(Sheet1!C898,$C$2:$C$1132,0)),"")</f>
        <v>60000</v>
      </c>
      <c r="M898" t="str">
        <f>IFERROR(INDEX($M$2:$M$1132,MATCH(B898,$B$2:$B$1132,0)),"")</f>
        <v>SQL, EXCEL, POWERBI, TABLEAU</v>
      </c>
      <c r="N898" t="s">
        <v>74</v>
      </c>
      <c r="O898" t="s">
        <v>80</v>
      </c>
    </row>
    <row r="899" spans="1:15" x14ac:dyDescent="0.25">
      <c r="A899">
        <v>18747</v>
      </c>
      <c r="B899" t="s">
        <v>14</v>
      </c>
      <c r="C899" t="s">
        <v>31</v>
      </c>
      <c r="D899" t="str">
        <f>IFERROR(INDEX(Sheet2!$B$2:$B$1132,MATCH(Sheet1!C899,Sheet1!$C$2:$C$1132,0)),"IDK")</f>
        <v>IT</v>
      </c>
      <c r="E899" t="s">
        <v>51</v>
      </c>
      <c r="F899" t="s">
        <v>54</v>
      </c>
      <c r="G899" s="1">
        <v>45419</v>
      </c>
      <c r="H899" t="s">
        <v>58</v>
      </c>
      <c r="I899" s="2" t="s">
        <v>146</v>
      </c>
      <c r="J899" s="2" t="s">
        <v>147</v>
      </c>
      <c r="K899">
        <f>IFERROR(INDEX(Sheet2!$C$2:$C$1132,MATCH(Sheet1!C899,Sheet1!$C$2:$C$1132,0)),"")</f>
        <v>25000</v>
      </c>
      <c r="L899">
        <f>IFERROR(INDEX(Sheet2!$D$2:$D$1132,MATCH(Sheet1!C899,$C$2:$C$1132,0)),"")</f>
        <v>75000</v>
      </c>
      <c r="M899" t="str">
        <f>IFERROR(INDEX($M$2:$M$1132,MATCH(B899,$B$2:$B$1132,0)),"")</f>
        <v>SQL, EXCEL, POWERBI, TABLEAU</v>
      </c>
      <c r="N899" t="s">
        <v>74</v>
      </c>
      <c r="O899" t="s">
        <v>80</v>
      </c>
    </row>
    <row r="900" spans="1:15" x14ac:dyDescent="0.25">
      <c r="A900">
        <v>18748</v>
      </c>
      <c r="B900" t="s">
        <v>14</v>
      </c>
      <c r="C900" t="s">
        <v>32</v>
      </c>
      <c r="D900" t="str">
        <f>IFERROR(INDEX(Sheet2!$B$2:$B$1132,MATCH(Sheet1!C900,Sheet1!$C$2:$C$1132,0)),"IDK")</f>
        <v>SOCIAL</v>
      </c>
      <c r="E900" t="s">
        <v>51</v>
      </c>
      <c r="F900" t="s">
        <v>54</v>
      </c>
      <c r="G900" s="1">
        <v>45488</v>
      </c>
      <c r="H900" t="s">
        <v>58</v>
      </c>
      <c r="I900" s="2" t="s">
        <v>129</v>
      </c>
      <c r="J900" s="2" t="s">
        <v>130</v>
      </c>
      <c r="K900">
        <f>IFERROR(INDEX(Sheet2!$C$2:$C$1132,MATCH(Sheet1!C900,Sheet1!$C$2:$C$1132,0)),"")</f>
        <v>20000</v>
      </c>
      <c r="L900">
        <f>IFERROR(INDEX(Sheet2!$D$2:$D$1132,MATCH(Sheet1!C900,$C$2:$C$1132,0)),"")</f>
        <v>70000</v>
      </c>
      <c r="M900" t="str">
        <f>IFERROR(INDEX($M$2:$M$1132,MATCH(B900,$B$2:$B$1132,0)),"")</f>
        <v>SQL, EXCEL, POWERBI, TABLEAU</v>
      </c>
      <c r="N900" t="s">
        <v>74</v>
      </c>
      <c r="O900" t="s">
        <v>80</v>
      </c>
    </row>
    <row r="901" spans="1:15" x14ac:dyDescent="0.25">
      <c r="A901">
        <v>18749</v>
      </c>
      <c r="B901" t="s">
        <v>14</v>
      </c>
      <c r="C901" t="s">
        <v>33</v>
      </c>
      <c r="D901" t="str">
        <f>IFERROR(INDEX(Sheet2!$B$2:$B$1132,MATCH(Sheet1!C901,Sheet1!$C$2:$C$1132,0)),"IDK")</f>
        <v>FINANCE</v>
      </c>
      <c r="E901" t="s">
        <v>51</v>
      </c>
      <c r="F901" t="s">
        <v>54</v>
      </c>
      <c r="G901" s="1">
        <v>45330</v>
      </c>
      <c r="H901" t="s">
        <v>58</v>
      </c>
      <c r="I901" s="2" t="s">
        <v>146</v>
      </c>
      <c r="J901" s="2" t="s">
        <v>147</v>
      </c>
      <c r="K901">
        <f>IFERROR(INDEX(Sheet2!$C$2:$C$1132,MATCH(Sheet1!C901,Sheet1!$C$2:$C$1132,0)),"")</f>
        <v>40000</v>
      </c>
      <c r="L901">
        <f>IFERROR(INDEX(Sheet2!$D$2:$D$1132,MATCH(Sheet1!C901,$C$2:$C$1132,0)),"")</f>
        <v>85000</v>
      </c>
      <c r="M901" t="str">
        <f>IFERROR(INDEX($M$2:$M$1132,MATCH(B901,$B$2:$B$1132,0)),"")</f>
        <v>SQL, EXCEL, POWERBI, TABLEAU</v>
      </c>
      <c r="N901" t="s">
        <v>74</v>
      </c>
      <c r="O901" t="s">
        <v>80</v>
      </c>
    </row>
    <row r="902" spans="1:15" x14ac:dyDescent="0.25">
      <c r="A902">
        <v>18750</v>
      </c>
      <c r="B902" t="s">
        <v>14</v>
      </c>
      <c r="C902" t="s">
        <v>23</v>
      </c>
      <c r="D902" t="str">
        <f>IFERROR(INDEX(Sheet2!$B$2:$B$1132,MATCH(Sheet1!C902,Sheet1!$C$2:$C$1132,0)),"IDK")</f>
        <v>IT</v>
      </c>
      <c r="E902" t="s">
        <v>51</v>
      </c>
      <c r="F902" t="s">
        <v>54</v>
      </c>
      <c r="G902" s="1">
        <v>45546</v>
      </c>
      <c r="H902" t="s">
        <v>58</v>
      </c>
      <c r="I902" s="2" t="s">
        <v>131</v>
      </c>
      <c r="J902" s="2" t="s">
        <v>132</v>
      </c>
      <c r="K902">
        <f>IFERROR(INDEX(Sheet2!$C$2:$C$1132,MATCH(Sheet1!C902,Sheet1!$C$2:$C$1132,0)),"")</f>
        <v>35000</v>
      </c>
      <c r="L902">
        <f>IFERROR(INDEX(Sheet2!$D$2:$D$1132,MATCH(Sheet1!C902,$C$2:$C$1132,0)),"")</f>
        <v>70000</v>
      </c>
      <c r="M902" t="str">
        <f>IFERROR(INDEX($M$2:$M$1132,MATCH(B902,$B$2:$B$1132,0)),"")</f>
        <v>SQL, EXCEL, POWERBI, TABLEAU</v>
      </c>
      <c r="N902" t="s">
        <v>74</v>
      </c>
      <c r="O902" t="s">
        <v>80</v>
      </c>
    </row>
    <row r="903" spans="1:15" x14ac:dyDescent="0.25">
      <c r="A903">
        <v>18751</v>
      </c>
      <c r="B903" t="s">
        <v>14</v>
      </c>
      <c r="C903" t="s">
        <v>24</v>
      </c>
      <c r="D903" t="str">
        <f>IFERROR(INDEX(Sheet2!$B$2:$B$1132,MATCH(Sheet1!C903,Sheet1!$C$2:$C$1132,0)),"IDK")</f>
        <v>HEALTH</v>
      </c>
      <c r="E903" t="s">
        <v>51</v>
      </c>
      <c r="F903" t="s">
        <v>54</v>
      </c>
      <c r="G903" s="1">
        <v>45523</v>
      </c>
      <c r="H903" t="s">
        <v>58</v>
      </c>
      <c r="I903" s="2" t="s">
        <v>136</v>
      </c>
      <c r="J903" s="2" t="s">
        <v>137</v>
      </c>
      <c r="K903">
        <f>IFERROR(INDEX(Sheet2!$C$2:$C$1132,MATCH(Sheet1!C903,Sheet1!$C$2:$C$1132,0)),"")</f>
        <v>25000</v>
      </c>
      <c r="L903">
        <f>IFERROR(INDEX(Sheet2!$D$2:$D$1132,MATCH(Sheet1!C903,$C$2:$C$1132,0)),"")</f>
        <v>50000</v>
      </c>
      <c r="M903" t="str">
        <f>IFERROR(INDEX($M$2:$M$1132,MATCH(B903,$B$2:$B$1132,0)),"")</f>
        <v>SQL, EXCEL, POWERBI, TABLEAU</v>
      </c>
      <c r="N903" t="s">
        <v>74</v>
      </c>
      <c r="O903" t="s">
        <v>80</v>
      </c>
    </row>
    <row r="904" spans="1:15" x14ac:dyDescent="0.25">
      <c r="A904">
        <v>18752</v>
      </c>
      <c r="B904" t="s">
        <v>14</v>
      </c>
      <c r="C904" t="s">
        <v>25</v>
      </c>
      <c r="D904" t="str">
        <f>IFERROR(INDEX(Sheet2!$B$2:$B$1132,MATCH(Sheet1!C904,Sheet1!$C$2:$C$1132,0)),"IDK")</f>
        <v>SOCIAL</v>
      </c>
      <c r="E904" t="s">
        <v>51</v>
      </c>
      <c r="F904" t="s">
        <v>54</v>
      </c>
      <c r="G904" s="1">
        <v>45612</v>
      </c>
      <c r="H904" t="s">
        <v>58</v>
      </c>
      <c r="I904" s="2" t="s">
        <v>140</v>
      </c>
      <c r="J904" s="2" t="s">
        <v>141</v>
      </c>
      <c r="K904">
        <f>IFERROR(INDEX(Sheet2!$C$2:$C$1132,MATCH(Sheet1!C904,Sheet1!$C$2:$C$1132,0)),"")</f>
        <v>30000</v>
      </c>
      <c r="L904">
        <f>IFERROR(INDEX(Sheet2!$D$2:$D$1132,MATCH(Sheet1!C904,$C$2:$C$1132,0)),"")</f>
        <v>60000</v>
      </c>
      <c r="M904" t="str">
        <f>IFERROR(INDEX($M$2:$M$1132,MATCH(B904,$B$2:$B$1132,0)),"")</f>
        <v>SQL, EXCEL, POWERBI, TABLEAU</v>
      </c>
      <c r="N904" t="s">
        <v>74</v>
      </c>
      <c r="O904" t="s">
        <v>80</v>
      </c>
    </row>
    <row r="905" spans="1:15" x14ac:dyDescent="0.25">
      <c r="A905">
        <v>18753</v>
      </c>
      <c r="B905" t="s">
        <v>14</v>
      </c>
      <c r="C905" t="s">
        <v>26</v>
      </c>
      <c r="D905" t="str">
        <f>IFERROR(INDEX(Sheet2!$B$2:$B$1132,MATCH(Sheet1!C905,Sheet1!$C$2:$C$1132,0)),"IDK")</f>
        <v>FINANCE</v>
      </c>
      <c r="E905" t="s">
        <v>51</v>
      </c>
      <c r="F905" t="s">
        <v>54</v>
      </c>
      <c r="G905" s="1">
        <v>45354</v>
      </c>
      <c r="H905" t="s">
        <v>58</v>
      </c>
      <c r="I905" s="2" t="s">
        <v>133</v>
      </c>
      <c r="J905" s="2" t="s">
        <v>134</v>
      </c>
      <c r="K905">
        <f>IFERROR(INDEX(Sheet2!$C$2:$C$1132,MATCH(Sheet1!C905,Sheet1!$C$2:$C$1132,0)),"")</f>
        <v>35000</v>
      </c>
      <c r="L905">
        <f>IFERROR(INDEX(Sheet2!$D$2:$D$1132,MATCH(Sheet1!C905,$C$2:$C$1132,0)),"")</f>
        <v>75000</v>
      </c>
      <c r="M905" t="str">
        <f>IFERROR(INDEX($M$2:$M$1132,MATCH(B905,$B$2:$B$1132,0)),"")</f>
        <v>SQL, EXCEL, POWERBI, TABLEAU</v>
      </c>
      <c r="N905" t="s">
        <v>74</v>
      </c>
      <c r="O905" t="s">
        <v>80</v>
      </c>
    </row>
    <row r="906" spans="1:15" x14ac:dyDescent="0.25">
      <c r="A906">
        <v>18754</v>
      </c>
      <c r="B906" t="s">
        <v>14</v>
      </c>
      <c r="C906" t="s">
        <v>37</v>
      </c>
      <c r="D906" t="s">
        <v>43</v>
      </c>
      <c r="E906" t="s">
        <v>51</v>
      </c>
      <c r="F906" t="s">
        <v>54</v>
      </c>
      <c r="G906" s="1">
        <v>45430</v>
      </c>
      <c r="H906" t="s">
        <v>58</v>
      </c>
      <c r="I906" s="2" t="s">
        <v>138</v>
      </c>
      <c r="J906" s="2" t="s">
        <v>139</v>
      </c>
      <c r="K906">
        <v>45000</v>
      </c>
      <c r="L906">
        <v>90000</v>
      </c>
      <c r="M906" t="str">
        <f>IFERROR(INDEX($M$2:$M$1132,MATCH(B906,$B$2:$B$1132,0)),"")</f>
        <v>SQL, EXCEL, POWERBI, TABLEAU</v>
      </c>
      <c r="N906" t="s">
        <v>74</v>
      </c>
      <c r="O906" t="s">
        <v>80</v>
      </c>
    </row>
    <row r="907" spans="1:15" x14ac:dyDescent="0.25">
      <c r="A907">
        <v>18755</v>
      </c>
      <c r="B907" t="s">
        <v>14</v>
      </c>
      <c r="C907" t="s">
        <v>38</v>
      </c>
      <c r="D907" t="s">
        <v>42</v>
      </c>
      <c r="E907" t="s">
        <v>51</v>
      </c>
      <c r="F907" t="s">
        <v>54</v>
      </c>
      <c r="G907" s="1">
        <v>45497</v>
      </c>
      <c r="H907" t="s">
        <v>58</v>
      </c>
      <c r="I907" s="2" t="s">
        <v>142</v>
      </c>
      <c r="J907" s="2" t="s">
        <v>143</v>
      </c>
      <c r="K907">
        <v>20000</v>
      </c>
      <c r="L907">
        <v>80000</v>
      </c>
      <c r="M907" t="str">
        <f>IFERROR(INDEX($M$2:$M$1132,MATCH(B907,$B$2:$B$1132,0)),"")</f>
        <v>SQL, EXCEL, POWERBI, TABLEAU</v>
      </c>
      <c r="N907" t="s">
        <v>74</v>
      </c>
      <c r="O907" t="s">
        <v>80</v>
      </c>
    </row>
    <row r="908" spans="1:15" x14ac:dyDescent="0.25">
      <c r="A908">
        <v>18756</v>
      </c>
      <c r="B908" t="s">
        <v>14</v>
      </c>
      <c r="C908" t="s">
        <v>39</v>
      </c>
      <c r="D908" t="s">
        <v>42</v>
      </c>
      <c r="E908" t="s">
        <v>51</v>
      </c>
      <c r="F908" t="s">
        <v>54</v>
      </c>
      <c r="G908" s="1">
        <v>45551</v>
      </c>
      <c r="H908" t="s">
        <v>58</v>
      </c>
      <c r="I908" s="2" t="s">
        <v>129</v>
      </c>
      <c r="J908" s="2" t="s">
        <v>130</v>
      </c>
      <c r="K908">
        <v>25000</v>
      </c>
      <c r="L908">
        <v>85000</v>
      </c>
      <c r="M908" t="str">
        <f>IFERROR(INDEX($M$2:$M$1132,MATCH(B908,$B$2:$B$1132,0)),"")</f>
        <v>SQL, EXCEL, POWERBI, TABLEAU</v>
      </c>
      <c r="N908" t="s">
        <v>74</v>
      </c>
      <c r="O908" t="s">
        <v>80</v>
      </c>
    </row>
    <row r="909" spans="1:15" x14ac:dyDescent="0.25">
      <c r="A909">
        <v>18757</v>
      </c>
      <c r="B909" t="s">
        <v>14</v>
      </c>
      <c r="C909" t="s">
        <v>23</v>
      </c>
      <c r="D909" t="str">
        <f>IFERROR(INDEX(Sheet2!$B$2:$B$1132,MATCH(Sheet1!C909,Sheet1!$C$2:$C$1132,0)),"IDK")</f>
        <v>IT</v>
      </c>
      <c r="E909" t="s">
        <v>51</v>
      </c>
      <c r="F909" t="s">
        <v>54</v>
      </c>
      <c r="G909" s="1">
        <v>45588</v>
      </c>
      <c r="H909" t="s">
        <v>58</v>
      </c>
      <c r="I909" s="2" t="s">
        <v>146</v>
      </c>
      <c r="J909" s="2" t="s">
        <v>147</v>
      </c>
      <c r="K909">
        <f>IFERROR(INDEX(Sheet2!$C$2:$C$1132,MATCH(Sheet1!C909,Sheet1!$C$2:$C$1132,0)),"")</f>
        <v>35000</v>
      </c>
      <c r="L909">
        <f>IFERROR(INDEX(Sheet2!$D$2:$D$1132,MATCH(Sheet1!C909,$C$2:$C$1132,0)),"")</f>
        <v>70000</v>
      </c>
      <c r="M909" t="str">
        <f>IFERROR(INDEX($M$2:$M$1132,MATCH(B909,$B$2:$B$1132,0)),"")</f>
        <v>SQL, EXCEL, POWERBI, TABLEAU</v>
      </c>
      <c r="N909" t="s">
        <v>74</v>
      </c>
      <c r="O909" t="s">
        <v>80</v>
      </c>
    </row>
    <row r="910" spans="1:15" x14ac:dyDescent="0.25">
      <c r="A910">
        <v>18758</v>
      </c>
      <c r="B910" t="s">
        <v>14</v>
      </c>
      <c r="C910" t="s">
        <v>30</v>
      </c>
      <c r="D910" t="str">
        <f>IFERROR(INDEX(Sheet2!$B$2:$B$1132,MATCH(Sheet1!C910,Sheet1!$C$2:$C$1132,0)),"IDK")</f>
        <v>IT</v>
      </c>
      <c r="E910" t="s">
        <v>51</v>
      </c>
      <c r="F910" t="s">
        <v>54</v>
      </c>
      <c r="G910" s="1">
        <v>45476</v>
      </c>
      <c r="H910" t="s">
        <v>58</v>
      </c>
      <c r="I910" s="2" t="s">
        <v>136</v>
      </c>
      <c r="J910" s="2" t="s">
        <v>137</v>
      </c>
      <c r="K910">
        <f>IFERROR(INDEX(Sheet2!$C$2:$C$1132,MATCH(Sheet1!C910,Sheet1!$C$2:$C$1132,0)),"")</f>
        <v>25000</v>
      </c>
      <c r="L910">
        <f>IFERROR(INDEX(Sheet2!$D$2:$D$1132,MATCH(Sheet1!C910,$C$2:$C$1132,0)),"")</f>
        <v>60000</v>
      </c>
      <c r="M910" t="str">
        <f>IFERROR(INDEX($M$2:$M$1132,MATCH(B910,$B$2:$B$1132,0)),"")</f>
        <v>SQL, EXCEL, POWERBI, TABLEAU</v>
      </c>
      <c r="N910" t="s">
        <v>74</v>
      </c>
      <c r="O910" t="s">
        <v>80</v>
      </c>
    </row>
    <row r="911" spans="1:15" x14ac:dyDescent="0.25">
      <c r="A911">
        <v>18759</v>
      </c>
      <c r="B911" t="s">
        <v>14</v>
      </c>
      <c r="C911" t="s">
        <v>31</v>
      </c>
      <c r="D911" t="str">
        <f>IFERROR(INDEX(Sheet2!$B$2:$B$1132,MATCH(Sheet1!C911,Sheet1!$C$2:$C$1132,0)),"IDK")</f>
        <v>IT</v>
      </c>
      <c r="E911" t="s">
        <v>51</v>
      </c>
      <c r="F911" t="s">
        <v>54</v>
      </c>
      <c r="G911" s="1">
        <v>45514</v>
      </c>
      <c r="H911" t="s">
        <v>58</v>
      </c>
      <c r="I911" s="2" t="s">
        <v>131</v>
      </c>
      <c r="J911" s="2" t="s">
        <v>132</v>
      </c>
      <c r="K911">
        <f>IFERROR(INDEX(Sheet2!$C$2:$C$1132,MATCH(Sheet1!C911,Sheet1!$C$2:$C$1132,0)),"")</f>
        <v>25000</v>
      </c>
      <c r="L911">
        <f>IFERROR(INDEX(Sheet2!$D$2:$D$1132,MATCH(Sheet1!C911,$C$2:$C$1132,0)),"")</f>
        <v>75000</v>
      </c>
      <c r="M911" t="str">
        <f>IFERROR(INDEX($M$2:$M$1132,MATCH(B911,$B$2:$B$1132,0)),"")</f>
        <v>SQL, EXCEL, POWERBI, TABLEAU</v>
      </c>
      <c r="N911" t="s">
        <v>74</v>
      </c>
      <c r="O911" t="s">
        <v>80</v>
      </c>
    </row>
    <row r="912" spans="1:15" x14ac:dyDescent="0.25">
      <c r="A912">
        <v>18760</v>
      </c>
      <c r="B912" t="s">
        <v>14</v>
      </c>
      <c r="C912" t="s">
        <v>32</v>
      </c>
      <c r="D912" t="str">
        <f>IFERROR(INDEX(Sheet2!$B$2:$B$1132,MATCH(Sheet1!C912,Sheet1!$C$2:$C$1132,0)),"IDK")</f>
        <v>SOCIAL</v>
      </c>
      <c r="E912" t="s">
        <v>51</v>
      </c>
      <c r="F912" t="s">
        <v>54</v>
      </c>
      <c r="G912" s="1">
        <v>45584</v>
      </c>
      <c r="H912" t="s">
        <v>58</v>
      </c>
      <c r="I912" s="2" t="s">
        <v>131</v>
      </c>
      <c r="J912" s="2" t="s">
        <v>132</v>
      </c>
      <c r="K912">
        <f>IFERROR(INDEX(Sheet2!$C$2:$C$1132,MATCH(Sheet1!C912,Sheet1!$C$2:$C$1132,0)),"")</f>
        <v>20000</v>
      </c>
      <c r="L912">
        <f>IFERROR(INDEX(Sheet2!$D$2:$D$1132,MATCH(Sheet1!C912,$C$2:$C$1132,0)),"")</f>
        <v>70000</v>
      </c>
      <c r="M912" t="str">
        <f>IFERROR(INDEX($M$2:$M$1132,MATCH(B912,$B$2:$B$1132,0)),"")</f>
        <v>SQL, EXCEL, POWERBI, TABLEAU</v>
      </c>
      <c r="N912" t="s">
        <v>74</v>
      </c>
      <c r="O912" t="s">
        <v>80</v>
      </c>
    </row>
    <row r="913" spans="1:15" x14ac:dyDescent="0.25">
      <c r="A913">
        <v>18761</v>
      </c>
      <c r="B913" t="s">
        <v>14</v>
      </c>
      <c r="C913" t="s">
        <v>33</v>
      </c>
      <c r="D913" t="str">
        <f>IFERROR(INDEX(Sheet2!$B$2:$B$1132,MATCH(Sheet1!C913,Sheet1!$C$2:$C$1132,0)),"IDK")</f>
        <v>FINANCE</v>
      </c>
      <c r="E913" t="s">
        <v>51</v>
      </c>
      <c r="F913" t="s">
        <v>54</v>
      </c>
      <c r="G913" s="1">
        <v>45304</v>
      </c>
      <c r="H913" t="s">
        <v>58</v>
      </c>
      <c r="I913" s="2" t="s">
        <v>131</v>
      </c>
      <c r="J913" s="2" t="s">
        <v>132</v>
      </c>
      <c r="K913">
        <f>IFERROR(INDEX(Sheet2!$C$2:$C$1132,MATCH(Sheet1!C913,Sheet1!$C$2:$C$1132,0)),"")</f>
        <v>40000</v>
      </c>
      <c r="L913">
        <f>IFERROR(INDEX(Sheet2!$D$2:$D$1132,MATCH(Sheet1!C913,$C$2:$C$1132,0)),"")</f>
        <v>85000</v>
      </c>
      <c r="M913" t="str">
        <f>IFERROR(INDEX($M$2:$M$1132,MATCH(B913,$B$2:$B$1132,0)),"")</f>
        <v>SQL, EXCEL, POWERBI, TABLEAU</v>
      </c>
      <c r="N913" t="s">
        <v>74</v>
      </c>
      <c r="O913" t="s">
        <v>80</v>
      </c>
    </row>
    <row r="914" spans="1:15" x14ac:dyDescent="0.25">
      <c r="A914">
        <v>18762</v>
      </c>
      <c r="B914" t="s">
        <v>14</v>
      </c>
      <c r="C914" t="s">
        <v>23</v>
      </c>
      <c r="D914" t="str">
        <f>IFERROR(INDEX(Sheet2!$B$2:$B$1132,MATCH(Sheet1!C914,Sheet1!$C$2:$C$1132,0)),"IDK")</f>
        <v>IT</v>
      </c>
      <c r="E914" t="s">
        <v>51</v>
      </c>
      <c r="F914" t="s">
        <v>54</v>
      </c>
      <c r="G914" s="1">
        <v>45564</v>
      </c>
      <c r="H914" t="s">
        <v>58</v>
      </c>
      <c r="I914" s="2" t="s">
        <v>136</v>
      </c>
      <c r="J914" s="2" t="s">
        <v>137</v>
      </c>
      <c r="K914">
        <f>IFERROR(INDEX(Sheet2!$C$2:$C$1132,MATCH(Sheet1!C914,Sheet1!$C$2:$C$1132,0)),"")</f>
        <v>35000</v>
      </c>
      <c r="L914">
        <f>IFERROR(INDEX(Sheet2!$D$2:$D$1132,MATCH(Sheet1!C914,$C$2:$C$1132,0)),"")</f>
        <v>70000</v>
      </c>
      <c r="M914" t="str">
        <f>IFERROR(INDEX($M$2:$M$1132,MATCH(B914,$B$2:$B$1132,0)),"")</f>
        <v>SQL, EXCEL, POWERBI, TABLEAU</v>
      </c>
      <c r="N914" t="s">
        <v>74</v>
      </c>
      <c r="O914" t="s">
        <v>80</v>
      </c>
    </row>
    <row r="915" spans="1:15" x14ac:dyDescent="0.25">
      <c r="A915">
        <v>18763</v>
      </c>
      <c r="B915" t="s">
        <v>14</v>
      </c>
      <c r="C915" t="s">
        <v>24</v>
      </c>
      <c r="D915" t="str">
        <f>IFERROR(INDEX(Sheet2!$B$2:$B$1132,MATCH(Sheet1!C915,Sheet1!$C$2:$C$1132,0)),"IDK")</f>
        <v>HEALTH</v>
      </c>
      <c r="E915" t="s">
        <v>51</v>
      </c>
      <c r="F915" t="s">
        <v>54</v>
      </c>
      <c r="G915" s="1">
        <v>45431</v>
      </c>
      <c r="H915" t="s">
        <v>58</v>
      </c>
      <c r="I915" s="2" t="s">
        <v>136</v>
      </c>
      <c r="J915" s="2" t="s">
        <v>137</v>
      </c>
      <c r="K915">
        <f>IFERROR(INDEX(Sheet2!$C$2:$C$1132,MATCH(Sheet1!C915,Sheet1!$C$2:$C$1132,0)),"")</f>
        <v>25000</v>
      </c>
      <c r="L915">
        <f>IFERROR(INDEX(Sheet2!$D$2:$D$1132,MATCH(Sheet1!C915,$C$2:$C$1132,0)),"")</f>
        <v>50000</v>
      </c>
      <c r="M915" t="str">
        <f>IFERROR(INDEX($M$2:$M$1132,MATCH(B915,$B$2:$B$1132,0)),"")</f>
        <v>SQL, EXCEL, POWERBI, TABLEAU</v>
      </c>
      <c r="N915" t="s">
        <v>74</v>
      </c>
      <c r="O915" t="s">
        <v>80</v>
      </c>
    </row>
    <row r="916" spans="1:15" x14ac:dyDescent="0.25">
      <c r="A916">
        <v>18764</v>
      </c>
      <c r="B916" t="s">
        <v>14</v>
      </c>
      <c r="C916" t="s">
        <v>25</v>
      </c>
      <c r="D916" t="str">
        <f>IFERROR(INDEX(Sheet2!$B$2:$B$1132,MATCH(Sheet1!C916,Sheet1!$C$2:$C$1132,0)),"IDK")</f>
        <v>SOCIAL</v>
      </c>
      <c r="E916" t="s">
        <v>51</v>
      </c>
      <c r="F916" t="s">
        <v>54</v>
      </c>
      <c r="G916" s="1">
        <v>45438</v>
      </c>
      <c r="H916" t="s">
        <v>58</v>
      </c>
      <c r="I916" s="2" t="s">
        <v>136</v>
      </c>
      <c r="J916" s="2" t="s">
        <v>137</v>
      </c>
      <c r="K916">
        <f>IFERROR(INDEX(Sheet2!$C$2:$C$1132,MATCH(Sheet1!C916,Sheet1!$C$2:$C$1132,0)),"")</f>
        <v>30000</v>
      </c>
      <c r="L916">
        <f>IFERROR(INDEX(Sheet2!$D$2:$D$1132,MATCH(Sheet1!C916,$C$2:$C$1132,0)),"")</f>
        <v>60000</v>
      </c>
      <c r="M916" t="str">
        <f>IFERROR(INDEX($M$2:$M$1132,MATCH(B916,$B$2:$B$1132,0)),"")</f>
        <v>SQL, EXCEL, POWERBI, TABLEAU</v>
      </c>
      <c r="N916" t="s">
        <v>74</v>
      </c>
      <c r="O916" t="s">
        <v>80</v>
      </c>
    </row>
    <row r="917" spans="1:15" x14ac:dyDescent="0.25">
      <c r="A917">
        <v>18765</v>
      </c>
      <c r="B917" t="s">
        <v>14</v>
      </c>
      <c r="C917" t="s">
        <v>26</v>
      </c>
      <c r="D917" t="str">
        <f>IFERROR(INDEX(Sheet2!$B$2:$B$1132,MATCH(Sheet1!C917,Sheet1!$C$2:$C$1132,0)),"IDK")</f>
        <v>FINANCE</v>
      </c>
      <c r="E917" t="s">
        <v>51</v>
      </c>
      <c r="F917" t="s">
        <v>54</v>
      </c>
      <c r="G917" s="1">
        <v>45626</v>
      </c>
      <c r="H917" t="s">
        <v>58</v>
      </c>
      <c r="I917" s="2" t="s">
        <v>136</v>
      </c>
      <c r="J917" s="2" t="s">
        <v>137</v>
      </c>
      <c r="K917">
        <f>IFERROR(INDEX(Sheet2!$C$2:$C$1132,MATCH(Sheet1!C917,Sheet1!$C$2:$C$1132,0)),"")</f>
        <v>35000</v>
      </c>
      <c r="L917">
        <f>IFERROR(INDEX(Sheet2!$D$2:$D$1132,MATCH(Sheet1!C917,$C$2:$C$1132,0)),"")</f>
        <v>75000</v>
      </c>
      <c r="M917" t="str">
        <f>IFERROR(INDEX($M$2:$M$1132,MATCH(B917,$B$2:$B$1132,0)),"")</f>
        <v>SQL, EXCEL, POWERBI, TABLEAU</v>
      </c>
      <c r="N917" t="s">
        <v>74</v>
      </c>
      <c r="O917" t="s">
        <v>80</v>
      </c>
    </row>
    <row r="918" spans="1:15" x14ac:dyDescent="0.25">
      <c r="A918">
        <v>18766</v>
      </c>
      <c r="B918" t="s">
        <v>14</v>
      </c>
      <c r="C918" t="s">
        <v>27</v>
      </c>
      <c r="D918" t="str">
        <f>IFERROR(INDEX(Sheet2!$B$2:$B$1132,MATCH(Sheet1!C918,Sheet1!$C$2:$C$1132,0)),"IDK")</f>
        <v>IT</v>
      </c>
      <c r="E918" t="s">
        <v>51</v>
      </c>
      <c r="F918" t="s">
        <v>54</v>
      </c>
      <c r="G918" s="1">
        <v>45541</v>
      </c>
      <c r="H918" t="s">
        <v>58</v>
      </c>
      <c r="I918" s="2" t="s">
        <v>146</v>
      </c>
      <c r="J918" s="2" t="s">
        <v>147</v>
      </c>
      <c r="K918">
        <f>IFERROR(INDEX(Sheet2!$C$2:$C$1132,MATCH(Sheet1!C918,Sheet1!$C$2:$C$1132,0)),"")</f>
        <v>40000</v>
      </c>
      <c r="L918">
        <f>IFERROR(INDEX(Sheet2!$D$2:$D$1132,MATCH(Sheet1!C918,$C$2:$C$1132,0)),"")</f>
        <v>80000</v>
      </c>
      <c r="M918" t="str">
        <f>IFERROR(INDEX($M$2:$M$1132,MATCH(B918,$B$2:$B$1132,0)),"")</f>
        <v>SQL, EXCEL, POWERBI, TABLEAU</v>
      </c>
      <c r="N918" t="s">
        <v>74</v>
      </c>
      <c r="O918" t="s">
        <v>80</v>
      </c>
    </row>
    <row r="919" spans="1:15" x14ac:dyDescent="0.25">
      <c r="A919">
        <v>18767</v>
      </c>
      <c r="B919" t="s">
        <v>14</v>
      </c>
      <c r="C919" t="s">
        <v>28</v>
      </c>
      <c r="D919" t="str">
        <f>IFERROR(INDEX(Sheet2!$B$2:$B$1132,MATCH(Sheet1!C919,Sheet1!$C$2:$C$1132,0)),"IDK")</f>
        <v>IT</v>
      </c>
      <c r="E919" t="s">
        <v>51</v>
      </c>
      <c r="F919" t="s">
        <v>54</v>
      </c>
      <c r="G919" s="1">
        <v>45444</v>
      </c>
      <c r="H919" t="s">
        <v>58</v>
      </c>
      <c r="I919" s="2" t="s">
        <v>146</v>
      </c>
      <c r="J919" s="2" t="s">
        <v>147</v>
      </c>
      <c r="K919">
        <f>IFERROR(INDEX(Sheet2!$C$2:$C$1132,MATCH(Sheet1!C919,Sheet1!$C$2:$C$1132,0)),"")</f>
        <v>30000</v>
      </c>
      <c r="L919">
        <f>IFERROR(INDEX(Sheet2!$D$2:$D$1132,MATCH(Sheet1!C919,$C$2:$C$1132,0)),"")</f>
        <v>55000</v>
      </c>
      <c r="M919" t="str">
        <f>IFERROR(INDEX($M$2:$M$1132,MATCH(B919,$B$2:$B$1132,0)),"")</f>
        <v>SQL, EXCEL, POWERBI, TABLEAU</v>
      </c>
      <c r="N919" t="s">
        <v>74</v>
      </c>
      <c r="O919" t="s">
        <v>80</v>
      </c>
    </row>
    <row r="920" spans="1:15" x14ac:dyDescent="0.25">
      <c r="A920">
        <v>18768</v>
      </c>
      <c r="B920" t="s">
        <v>14</v>
      </c>
      <c r="C920" t="s">
        <v>29</v>
      </c>
      <c r="D920" t="str">
        <f>IFERROR(INDEX(Sheet2!$B$2:$B$1132,MATCH(Sheet1!C920,Sheet1!$C$2:$C$1132,0)),"IDK")</f>
        <v>IT</v>
      </c>
      <c r="E920" t="s">
        <v>51</v>
      </c>
      <c r="F920" t="s">
        <v>54</v>
      </c>
      <c r="G920" s="1">
        <v>45367</v>
      </c>
      <c r="H920" t="s">
        <v>58</v>
      </c>
      <c r="I920" s="2" t="s">
        <v>146</v>
      </c>
      <c r="J920" s="2" t="s">
        <v>147</v>
      </c>
      <c r="K920">
        <f>IFERROR(INDEX(Sheet2!$C$2:$C$1132,MATCH(Sheet1!C920,Sheet1!$C$2:$C$1132,0)),"")</f>
        <v>35000</v>
      </c>
      <c r="L920">
        <f>IFERROR(INDEX(Sheet2!$D$2:$D$1132,MATCH(Sheet1!C920,$C$2:$C$1132,0)),"")</f>
        <v>70000</v>
      </c>
      <c r="M920" t="str">
        <f>IFERROR(INDEX($M$2:$M$1132,MATCH(B920,$B$2:$B$1132,0)),"")</f>
        <v>SQL, EXCEL, POWERBI, TABLEAU</v>
      </c>
      <c r="N920" t="s">
        <v>74</v>
      </c>
      <c r="O920" t="s">
        <v>80</v>
      </c>
    </row>
    <row r="921" spans="1:15" x14ac:dyDescent="0.25">
      <c r="A921">
        <v>18769</v>
      </c>
      <c r="B921" t="s">
        <v>14</v>
      </c>
      <c r="C921" t="s">
        <v>23</v>
      </c>
      <c r="D921" t="str">
        <f>IFERROR(INDEX(Sheet2!$B$2:$B$1132,MATCH(Sheet1!C921,Sheet1!$C$2:$C$1132,0)),"IDK")</f>
        <v>IT</v>
      </c>
      <c r="E921" t="s">
        <v>51</v>
      </c>
      <c r="F921" t="s">
        <v>54</v>
      </c>
      <c r="G921" s="1">
        <v>45606</v>
      </c>
      <c r="H921" t="s">
        <v>58</v>
      </c>
      <c r="I921" s="2" t="s">
        <v>129</v>
      </c>
      <c r="J921" s="2" t="s">
        <v>130</v>
      </c>
      <c r="K921">
        <f>IFERROR(INDEX(Sheet2!$C$2:$C$1132,MATCH(Sheet1!C921,Sheet1!$C$2:$C$1132,0)),"")</f>
        <v>35000</v>
      </c>
      <c r="L921">
        <f>IFERROR(INDEX(Sheet2!$D$2:$D$1132,MATCH(Sheet1!C921,$C$2:$C$1132,0)),"")</f>
        <v>70000</v>
      </c>
      <c r="M921" t="str">
        <f>IFERROR(INDEX($M$2:$M$1132,MATCH(B921,$B$2:$B$1132,0)),"")</f>
        <v>SQL, EXCEL, POWERBI, TABLEAU</v>
      </c>
      <c r="N921" t="s">
        <v>74</v>
      </c>
      <c r="O921" t="s">
        <v>80</v>
      </c>
    </row>
    <row r="922" spans="1:15" x14ac:dyDescent="0.25">
      <c r="A922">
        <v>18770</v>
      </c>
      <c r="B922" t="s">
        <v>14</v>
      </c>
      <c r="C922" t="s">
        <v>30</v>
      </c>
      <c r="D922" t="str">
        <f>IFERROR(INDEX(Sheet2!$B$2:$B$1132,MATCH(Sheet1!C922,Sheet1!$C$2:$C$1132,0)),"IDK")</f>
        <v>IT</v>
      </c>
      <c r="E922" t="s">
        <v>51</v>
      </c>
      <c r="F922" t="s">
        <v>54</v>
      </c>
      <c r="G922" s="1">
        <v>45516</v>
      </c>
      <c r="H922" t="s">
        <v>58</v>
      </c>
      <c r="I922" s="2" t="s">
        <v>129</v>
      </c>
      <c r="J922" s="2" t="s">
        <v>130</v>
      </c>
      <c r="K922">
        <f>IFERROR(INDEX(Sheet2!$C$2:$C$1132,MATCH(Sheet1!C922,Sheet1!$C$2:$C$1132,0)),"")</f>
        <v>25000</v>
      </c>
      <c r="L922">
        <f>IFERROR(INDEX(Sheet2!$D$2:$D$1132,MATCH(Sheet1!C922,$C$2:$C$1132,0)),"")</f>
        <v>60000</v>
      </c>
      <c r="M922" t="str">
        <f>IFERROR(INDEX($M$2:$M$1132,MATCH(B922,$B$2:$B$1132,0)),"")</f>
        <v>SQL, EXCEL, POWERBI, TABLEAU</v>
      </c>
      <c r="N922" t="s">
        <v>74</v>
      </c>
      <c r="O922" t="s">
        <v>80</v>
      </c>
    </row>
    <row r="923" spans="1:15" x14ac:dyDescent="0.25">
      <c r="A923">
        <v>18771</v>
      </c>
      <c r="B923" t="s">
        <v>14</v>
      </c>
      <c r="C923" t="s">
        <v>31</v>
      </c>
      <c r="D923" t="str">
        <f>IFERROR(INDEX(Sheet2!$B$2:$B$1132,MATCH(Sheet1!C923,Sheet1!$C$2:$C$1132,0)),"IDK")</f>
        <v>IT</v>
      </c>
      <c r="E923" t="s">
        <v>51</v>
      </c>
      <c r="F923" t="s">
        <v>54</v>
      </c>
      <c r="G923" s="1">
        <v>45522</v>
      </c>
      <c r="H923" t="s">
        <v>58</v>
      </c>
      <c r="I923" s="2" t="s">
        <v>136</v>
      </c>
      <c r="J923" s="2" t="s">
        <v>137</v>
      </c>
      <c r="K923">
        <f>IFERROR(INDEX(Sheet2!$C$2:$C$1132,MATCH(Sheet1!C923,Sheet1!$C$2:$C$1132,0)),"")</f>
        <v>25000</v>
      </c>
      <c r="L923">
        <f>IFERROR(INDEX(Sheet2!$D$2:$D$1132,MATCH(Sheet1!C923,$C$2:$C$1132,0)),"")</f>
        <v>75000</v>
      </c>
      <c r="M923" t="str">
        <f>IFERROR(INDEX($M$2:$M$1132,MATCH(B923,$B$2:$B$1132,0)),"")</f>
        <v>SQL, EXCEL, POWERBI, TABLEAU</v>
      </c>
      <c r="N923" t="s">
        <v>74</v>
      </c>
      <c r="O923" t="s">
        <v>80</v>
      </c>
    </row>
    <row r="924" spans="1:15" x14ac:dyDescent="0.25">
      <c r="A924">
        <v>18772</v>
      </c>
      <c r="B924" t="s">
        <v>14</v>
      </c>
      <c r="C924" t="s">
        <v>32</v>
      </c>
      <c r="D924" t="str">
        <f>IFERROR(INDEX(Sheet2!$B$2:$B$1132,MATCH(Sheet1!C924,Sheet1!$C$2:$C$1132,0)),"IDK")</f>
        <v>SOCIAL</v>
      </c>
      <c r="E924" t="s">
        <v>51</v>
      </c>
      <c r="F924" t="s">
        <v>54</v>
      </c>
      <c r="G924" s="1">
        <v>45300</v>
      </c>
      <c r="H924" t="s">
        <v>58</v>
      </c>
      <c r="I924" s="2" t="s">
        <v>129</v>
      </c>
      <c r="J924" s="2" t="s">
        <v>130</v>
      </c>
      <c r="K924">
        <f>IFERROR(INDEX(Sheet2!$C$2:$C$1132,MATCH(Sheet1!C924,Sheet1!$C$2:$C$1132,0)),"")</f>
        <v>20000</v>
      </c>
      <c r="L924">
        <f>IFERROR(INDEX(Sheet2!$D$2:$D$1132,MATCH(Sheet1!C924,$C$2:$C$1132,0)),"")</f>
        <v>70000</v>
      </c>
      <c r="M924" t="str">
        <f>IFERROR(INDEX($M$2:$M$1132,MATCH(B924,$B$2:$B$1132,0)),"")</f>
        <v>SQL, EXCEL, POWERBI, TABLEAU</v>
      </c>
      <c r="N924" t="s">
        <v>74</v>
      </c>
      <c r="O924" t="s">
        <v>80</v>
      </c>
    </row>
    <row r="925" spans="1:15" x14ac:dyDescent="0.25">
      <c r="A925">
        <v>18773</v>
      </c>
      <c r="B925" t="s">
        <v>14</v>
      </c>
      <c r="C925" t="s">
        <v>33</v>
      </c>
      <c r="D925" t="str">
        <f>IFERROR(INDEX(Sheet2!$B$2:$B$1132,MATCH(Sheet1!C925,Sheet1!$C$2:$C$1132,0)),"IDK")</f>
        <v>FINANCE</v>
      </c>
      <c r="E925" t="s">
        <v>51</v>
      </c>
      <c r="F925" t="s">
        <v>54</v>
      </c>
      <c r="G925" s="1">
        <v>45442</v>
      </c>
      <c r="H925" t="s">
        <v>58</v>
      </c>
      <c r="I925" s="2" t="s">
        <v>138</v>
      </c>
      <c r="J925" s="2" t="s">
        <v>148</v>
      </c>
      <c r="K925">
        <f>IFERROR(INDEX(Sheet2!$C$2:$C$1132,MATCH(Sheet1!C925,Sheet1!$C$2:$C$1132,0)),"")</f>
        <v>40000</v>
      </c>
      <c r="L925">
        <f>IFERROR(INDEX(Sheet2!$D$2:$D$1132,MATCH(Sheet1!C925,$C$2:$C$1132,0)),"")</f>
        <v>85000</v>
      </c>
      <c r="M925" t="str">
        <f>IFERROR(INDEX($M$2:$M$1132,MATCH(B925,$B$2:$B$1132,0)),"")</f>
        <v>SQL, EXCEL, POWERBI, TABLEAU</v>
      </c>
      <c r="N925" t="s">
        <v>74</v>
      </c>
      <c r="O925" t="s">
        <v>80</v>
      </c>
    </row>
    <row r="926" spans="1:15" x14ac:dyDescent="0.25">
      <c r="A926">
        <v>18774</v>
      </c>
      <c r="B926" t="s">
        <v>14</v>
      </c>
      <c r="C926" t="s">
        <v>24</v>
      </c>
      <c r="D926" t="str">
        <f>IFERROR(INDEX(Sheet2!$B$2:$B$1132,MATCH(Sheet1!C926,Sheet1!$C$2:$C$1132,0)),"IDK")</f>
        <v>HEALTH</v>
      </c>
      <c r="E926" t="s">
        <v>51</v>
      </c>
      <c r="F926" t="s">
        <v>54</v>
      </c>
      <c r="G926" s="1">
        <v>45516</v>
      </c>
      <c r="H926" t="s">
        <v>58</v>
      </c>
      <c r="I926" s="2" t="s">
        <v>138</v>
      </c>
      <c r="J926" s="2" t="s">
        <v>148</v>
      </c>
      <c r="K926">
        <f>IFERROR(INDEX(Sheet2!$C$2:$C$1132,MATCH(Sheet1!C926,Sheet1!$C$2:$C$1132,0)),"")</f>
        <v>25000</v>
      </c>
      <c r="L926">
        <f>IFERROR(INDEX(Sheet2!$D$2:$D$1132,MATCH(Sheet1!C926,$C$2:$C$1132,0)),"")</f>
        <v>50000</v>
      </c>
      <c r="M926" t="str">
        <f>IFERROR(INDEX($M$2:$M$1132,MATCH(B926,$B$2:$B$1132,0)),"")</f>
        <v>SQL, EXCEL, POWERBI, TABLEAU</v>
      </c>
      <c r="N926" t="s">
        <v>74</v>
      </c>
      <c r="O926" t="s">
        <v>80</v>
      </c>
    </row>
    <row r="927" spans="1:15" x14ac:dyDescent="0.25">
      <c r="A927">
        <v>18775</v>
      </c>
      <c r="B927" t="s">
        <v>14</v>
      </c>
      <c r="C927" t="s">
        <v>25</v>
      </c>
      <c r="D927" t="str">
        <f>IFERROR(INDEX(Sheet2!$B$2:$B$1132,MATCH(Sheet1!C927,Sheet1!$C$2:$C$1132,0)),"IDK")</f>
        <v>SOCIAL</v>
      </c>
      <c r="E927" t="s">
        <v>51</v>
      </c>
      <c r="F927" t="s">
        <v>54</v>
      </c>
      <c r="G927" s="1">
        <v>45417</v>
      </c>
      <c r="H927" t="s">
        <v>58</v>
      </c>
      <c r="I927" s="2" t="s">
        <v>142</v>
      </c>
      <c r="J927" s="2" t="s">
        <v>143</v>
      </c>
      <c r="K927">
        <f>IFERROR(INDEX(Sheet2!$C$2:$C$1132,MATCH(Sheet1!C927,Sheet1!$C$2:$C$1132,0)),"")</f>
        <v>30000</v>
      </c>
      <c r="L927">
        <f>IFERROR(INDEX(Sheet2!$D$2:$D$1132,MATCH(Sheet1!C927,$C$2:$C$1132,0)),"")</f>
        <v>60000</v>
      </c>
      <c r="M927" t="str">
        <f>IFERROR(INDEX($M$2:$M$1132,MATCH(B927,$B$2:$B$1132,0)),"")</f>
        <v>SQL, EXCEL, POWERBI, TABLEAU</v>
      </c>
      <c r="N927" t="s">
        <v>74</v>
      </c>
      <c r="O927" t="s">
        <v>80</v>
      </c>
    </row>
    <row r="928" spans="1:15" x14ac:dyDescent="0.25">
      <c r="A928">
        <v>18776</v>
      </c>
      <c r="B928" t="s">
        <v>14</v>
      </c>
      <c r="C928" t="s">
        <v>26</v>
      </c>
      <c r="D928" t="str">
        <f>IFERROR(INDEX(Sheet2!$B$2:$B$1132,MATCH(Sheet1!C928,Sheet1!$C$2:$C$1132,0)),"IDK")</f>
        <v>FINANCE</v>
      </c>
      <c r="E928" t="s">
        <v>51</v>
      </c>
      <c r="F928" t="s">
        <v>54</v>
      </c>
      <c r="G928" s="1">
        <v>45534</v>
      </c>
      <c r="H928" t="s">
        <v>58</v>
      </c>
      <c r="I928" s="2" t="s">
        <v>142</v>
      </c>
      <c r="J928" s="2" t="s">
        <v>143</v>
      </c>
      <c r="K928">
        <f>IFERROR(INDEX(Sheet2!$C$2:$C$1132,MATCH(Sheet1!C928,Sheet1!$C$2:$C$1132,0)),"")</f>
        <v>35000</v>
      </c>
      <c r="L928">
        <f>IFERROR(INDEX(Sheet2!$D$2:$D$1132,MATCH(Sheet1!C928,$C$2:$C$1132,0)),"")</f>
        <v>75000</v>
      </c>
      <c r="M928" t="str">
        <f>IFERROR(INDEX($M$2:$M$1132,MATCH(B928,$B$2:$B$1132,0)),"")</f>
        <v>SQL, EXCEL, POWERBI, TABLEAU</v>
      </c>
      <c r="N928" t="s">
        <v>74</v>
      </c>
      <c r="O928" t="s">
        <v>80</v>
      </c>
    </row>
    <row r="929" spans="1:15" x14ac:dyDescent="0.25">
      <c r="A929">
        <v>18777</v>
      </c>
      <c r="B929" t="s">
        <v>14</v>
      </c>
      <c r="C929" t="s">
        <v>27</v>
      </c>
      <c r="D929" t="str">
        <f>IFERROR(INDEX(Sheet2!$B$2:$B$1132,MATCH(Sheet1!C929,Sheet1!$C$2:$C$1132,0)),"IDK")</f>
        <v>IT</v>
      </c>
      <c r="E929" t="s">
        <v>51</v>
      </c>
      <c r="F929" t="s">
        <v>54</v>
      </c>
      <c r="G929" s="1">
        <v>45615</v>
      </c>
      <c r="H929" t="s">
        <v>58</v>
      </c>
      <c r="I929" s="2" t="s">
        <v>142</v>
      </c>
      <c r="J929" s="2" t="s">
        <v>143</v>
      </c>
      <c r="K929">
        <f>IFERROR(INDEX(Sheet2!$C$2:$C$1132,MATCH(Sheet1!C929,Sheet1!$C$2:$C$1132,0)),"")</f>
        <v>40000</v>
      </c>
      <c r="L929">
        <f>IFERROR(INDEX(Sheet2!$D$2:$D$1132,MATCH(Sheet1!C929,$C$2:$C$1132,0)),"")</f>
        <v>80000</v>
      </c>
      <c r="M929" t="str">
        <f>IFERROR(INDEX($M$2:$M$1132,MATCH(B929,$B$2:$B$1132,0)),"")</f>
        <v>SQL, EXCEL, POWERBI, TABLEAU</v>
      </c>
      <c r="N929" t="s">
        <v>74</v>
      </c>
      <c r="O929" t="s">
        <v>80</v>
      </c>
    </row>
    <row r="930" spans="1:15" x14ac:dyDescent="0.25">
      <c r="A930">
        <v>18778</v>
      </c>
      <c r="B930" t="s">
        <v>14</v>
      </c>
      <c r="C930" t="s">
        <v>28</v>
      </c>
      <c r="D930" t="str">
        <f>IFERROR(INDEX(Sheet2!$B$2:$B$1132,MATCH(Sheet1!C930,Sheet1!$C$2:$C$1132,0)),"IDK")</f>
        <v>IT</v>
      </c>
      <c r="E930" t="s">
        <v>51</v>
      </c>
      <c r="F930" t="s">
        <v>54</v>
      </c>
      <c r="G930" s="1">
        <v>45447</v>
      </c>
      <c r="H930" t="s">
        <v>58</v>
      </c>
      <c r="I930" s="2" t="s">
        <v>142</v>
      </c>
      <c r="J930" s="2" t="s">
        <v>143</v>
      </c>
      <c r="K930">
        <f>IFERROR(INDEX(Sheet2!$C$2:$C$1132,MATCH(Sheet1!C930,Sheet1!$C$2:$C$1132,0)),"")</f>
        <v>30000</v>
      </c>
      <c r="L930">
        <f>IFERROR(INDEX(Sheet2!$D$2:$D$1132,MATCH(Sheet1!C930,$C$2:$C$1132,0)),"")</f>
        <v>55000</v>
      </c>
      <c r="M930" t="str">
        <f>IFERROR(INDEX($M$2:$M$1132,MATCH(B930,$B$2:$B$1132,0)),"")</f>
        <v>SQL, EXCEL, POWERBI, TABLEAU</v>
      </c>
      <c r="N930" t="s">
        <v>74</v>
      </c>
      <c r="O930" t="s">
        <v>80</v>
      </c>
    </row>
    <row r="931" spans="1:15" x14ac:dyDescent="0.25">
      <c r="A931">
        <v>18779</v>
      </c>
      <c r="B931" t="s">
        <v>14</v>
      </c>
      <c r="C931" t="s">
        <v>29</v>
      </c>
      <c r="D931" t="str">
        <f>IFERROR(INDEX(Sheet2!$B$2:$B$1132,MATCH(Sheet1!C931,Sheet1!$C$2:$C$1132,0)),"IDK")</f>
        <v>IT</v>
      </c>
      <c r="E931" t="s">
        <v>51</v>
      </c>
      <c r="F931" t="s">
        <v>54</v>
      </c>
      <c r="G931" s="1">
        <v>45648</v>
      </c>
      <c r="H931" t="s">
        <v>58</v>
      </c>
      <c r="I931" s="2" t="s">
        <v>142</v>
      </c>
      <c r="J931" s="2" t="s">
        <v>143</v>
      </c>
      <c r="K931">
        <f>IFERROR(INDEX(Sheet2!$C$2:$C$1132,MATCH(Sheet1!C931,Sheet1!$C$2:$C$1132,0)),"")</f>
        <v>35000</v>
      </c>
      <c r="L931">
        <f>IFERROR(INDEX(Sheet2!$D$2:$D$1132,MATCH(Sheet1!C931,$C$2:$C$1132,0)),"")</f>
        <v>70000</v>
      </c>
      <c r="M931" t="str">
        <f>IFERROR(INDEX($M$2:$M$1132,MATCH(B931,$B$2:$B$1132,0)),"")</f>
        <v>SQL, EXCEL, POWERBI, TABLEAU</v>
      </c>
      <c r="N931" t="s">
        <v>74</v>
      </c>
      <c r="O931" t="s">
        <v>80</v>
      </c>
    </row>
    <row r="932" spans="1:15" x14ac:dyDescent="0.25">
      <c r="A932">
        <v>18780</v>
      </c>
      <c r="B932" t="s">
        <v>14</v>
      </c>
      <c r="C932" t="s">
        <v>23</v>
      </c>
      <c r="D932" t="str">
        <f>IFERROR(INDEX(Sheet2!$B$2:$B$1132,MATCH(Sheet1!C932,Sheet1!$C$2:$C$1132,0)),"IDK")</f>
        <v>IT</v>
      </c>
      <c r="E932" t="s">
        <v>51</v>
      </c>
      <c r="F932" t="s">
        <v>54</v>
      </c>
      <c r="G932" s="1">
        <v>45362</v>
      </c>
      <c r="H932" t="s">
        <v>58</v>
      </c>
      <c r="I932" s="2" t="s">
        <v>138</v>
      </c>
      <c r="J932" s="2" t="s">
        <v>139</v>
      </c>
      <c r="K932">
        <f>IFERROR(INDEX(Sheet2!$C$2:$C$1132,MATCH(Sheet1!C932,Sheet1!$C$2:$C$1132,0)),"")</f>
        <v>35000</v>
      </c>
      <c r="L932">
        <f>IFERROR(INDEX(Sheet2!$D$2:$D$1132,MATCH(Sheet1!C932,$C$2:$C$1132,0)),"")</f>
        <v>70000</v>
      </c>
      <c r="M932" t="str">
        <f>IFERROR(INDEX($M$2:$M$1132,MATCH(B932,$B$2:$B$1132,0)),"")</f>
        <v>SQL, EXCEL, POWERBI, TABLEAU</v>
      </c>
      <c r="N932" t="s">
        <v>74</v>
      </c>
      <c r="O932" t="s">
        <v>80</v>
      </c>
    </row>
    <row r="933" spans="1:15" x14ac:dyDescent="0.25">
      <c r="A933">
        <v>18781</v>
      </c>
      <c r="B933" t="s">
        <v>14</v>
      </c>
      <c r="C933" t="s">
        <v>30</v>
      </c>
      <c r="D933" t="str">
        <f>IFERROR(INDEX(Sheet2!$B$2:$B$1132,MATCH(Sheet1!C933,Sheet1!$C$2:$C$1132,0)),"IDK")</f>
        <v>IT</v>
      </c>
      <c r="E933" t="s">
        <v>51</v>
      </c>
      <c r="F933" t="s">
        <v>54</v>
      </c>
      <c r="G933" s="1">
        <v>45376</v>
      </c>
      <c r="H933" t="s">
        <v>58</v>
      </c>
      <c r="I933" s="2" t="s">
        <v>138</v>
      </c>
      <c r="J933" s="2" t="s">
        <v>139</v>
      </c>
      <c r="K933">
        <f>IFERROR(INDEX(Sheet2!$C$2:$C$1132,MATCH(Sheet1!C933,Sheet1!$C$2:$C$1132,0)),"")</f>
        <v>25000</v>
      </c>
      <c r="L933">
        <f>IFERROR(INDEX(Sheet2!$D$2:$D$1132,MATCH(Sheet1!C933,$C$2:$C$1132,0)),"")</f>
        <v>60000</v>
      </c>
      <c r="M933" t="str">
        <f>IFERROR(INDEX($M$2:$M$1132,MATCH(B933,$B$2:$B$1132,0)),"")</f>
        <v>SQL, EXCEL, POWERBI, TABLEAU</v>
      </c>
      <c r="N933" t="s">
        <v>74</v>
      </c>
      <c r="O933" t="s">
        <v>80</v>
      </c>
    </row>
    <row r="934" spans="1:15" x14ac:dyDescent="0.25">
      <c r="A934">
        <v>18782</v>
      </c>
      <c r="B934" t="s">
        <v>14</v>
      </c>
      <c r="C934" t="s">
        <v>31</v>
      </c>
      <c r="D934" t="str">
        <f>IFERROR(INDEX(Sheet2!$B$2:$B$1132,MATCH(Sheet1!C934,Sheet1!$C$2:$C$1132,0)),"IDK")</f>
        <v>IT</v>
      </c>
      <c r="E934" t="s">
        <v>51</v>
      </c>
      <c r="F934" t="s">
        <v>54</v>
      </c>
      <c r="G934" s="1">
        <v>45333</v>
      </c>
      <c r="H934" t="s">
        <v>58</v>
      </c>
      <c r="I934" s="2" t="s">
        <v>138</v>
      </c>
      <c r="J934" s="2" t="s">
        <v>139</v>
      </c>
      <c r="K934">
        <f>IFERROR(INDEX(Sheet2!$C$2:$C$1132,MATCH(Sheet1!C934,Sheet1!$C$2:$C$1132,0)),"")</f>
        <v>25000</v>
      </c>
      <c r="L934">
        <f>IFERROR(INDEX(Sheet2!$D$2:$D$1132,MATCH(Sheet1!C934,$C$2:$C$1132,0)),"")</f>
        <v>75000</v>
      </c>
      <c r="M934" t="str">
        <f>IFERROR(INDEX($M$2:$M$1132,MATCH(B934,$B$2:$B$1132,0)),"")</f>
        <v>SQL, EXCEL, POWERBI, TABLEAU</v>
      </c>
      <c r="N934" t="s">
        <v>74</v>
      </c>
      <c r="O934" t="s">
        <v>80</v>
      </c>
    </row>
    <row r="935" spans="1:15" x14ac:dyDescent="0.25">
      <c r="A935">
        <v>18783</v>
      </c>
      <c r="B935" t="s">
        <v>14</v>
      </c>
      <c r="C935" t="s">
        <v>32</v>
      </c>
      <c r="D935" t="str">
        <f>IFERROR(INDEX(Sheet2!$B$2:$B$1132,MATCH(Sheet1!C935,Sheet1!$C$2:$C$1132,0)),"IDK")</f>
        <v>SOCIAL</v>
      </c>
      <c r="E935" t="s">
        <v>51</v>
      </c>
      <c r="F935" t="s">
        <v>54</v>
      </c>
      <c r="G935" s="1">
        <v>45476</v>
      </c>
      <c r="H935" t="s">
        <v>58</v>
      </c>
      <c r="I935" s="2" t="s">
        <v>133</v>
      </c>
      <c r="J935" s="2" t="s">
        <v>134</v>
      </c>
      <c r="K935">
        <f>IFERROR(INDEX(Sheet2!$C$2:$C$1132,MATCH(Sheet1!C935,Sheet1!$C$2:$C$1132,0)),"")</f>
        <v>20000</v>
      </c>
      <c r="L935">
        <f>IFERROR(INDEX(Sheet2!$D$2:$D$1132,MATCH(Sheet1!C935,$C$2:$C$1132,0)),"")</f>
        <v>70000</v>
      </c>
      <c r="M935" t="str">
        <f>IFERROR(INDEX($M$2:$M$1132,MATCH(B935,$B$2:$B$1132,0)),"")</f>
        <v>SQL, EXCEL, POWERBI, TABLEAU</v>
      </c>
      <c r="N935" t="s">
        <v>74</v>
      </c>
      <c r="O935" t="s">
        <v>80</v>
      </c>
    </row>
    <row r="936" spans="1:15" x14ac:dyDescent="0.25">
      <c r="A936">
        <v>18784</v>
      </c>
      <c r="B936" t="s">
        <v>14</v>
      </c>
      <c r="C936" t="s">
        <v>33</v>
      </c>
      <c r="D936" t="str">
        <f>IFERROR(INDEX(Sheet2!$B$2:$B$1132,MATCH(Sheet1!C936,Sheet1!$C$2:$C$1132,0)),"IDK")</f>
        <v>FINANCE</v>
      </c>
      <c r="E936" t="s">
        <v>51</v>
      </c>
      <c r="F936" t="s">
        <v>54</v>
      </c>
      <c r="G936" s="1">
        <v>45354</v>
      </c>
      <c r="H936" t="s">
        <v>58</v>
      </c>
      <c r="I936" s="2" t="s">
        <v>131</v>
      </c>
      <c r="J936" s="2" t="s">
        <v>132</v>
      </c>
      <c r="K936">
        <f>IFERROR(INDEX(Sheet2!$C$2:$C$1132,MATCH(Sheet1!C936,Sheet1!$C$2:$C$1132,0)),"")</f>
        <v>40000</v>
      </c>
      <c r="L936">
        <f>IFERROR(INDEX(Sheet2!$D$2:$D$1132,MATCH(Sheet1!C936,$C$2:$C$1132,0)),"")</f>
        <v>85000</v>
      </c>
      <c r="M936" t="str">
        <f>IFERROR(INDEX($M$2:$M$1132,MATCH(B936,$B$2:$B$1132,0)),"")</f>
        <v>SQL, EXCEL, POWERBI, TABLEAU</v>
      </c>
      <c r="N936" t="s">
        <v>74</v>
      </c>
      <c r="O936" t="s">
        <v>80</v>
      </c>
    </row>
    <row r="937" spans="1:15" x14ac:dyDescent="0.25">
      <c r="A937">
        <v>18785</v>
      </c>
      <c r="B937" t="s">
        <v>14</v>
      </c>
      <c r="C937" t="s">
        <v>34</v>
      </c>
      <c r="D937" t="str">
        <f>IFERROR(INDEX(Sheet2!$B$2:$B$1132,MATCH(Sheet1!C937,Sheet1!$C$2:$C$1132,0)),"IDK")</f>
        <v>IT</v>
      </c>
      <c r="E937" t="s">
        <v>51</v>
      </c>
      <c r="F937" t="s">
        <v>54</v>
      </c>
      <c r="G937" s="1">
        <v>45354</v>
      </c>
      <c r="H937" t="s">
        <v>58</v>
      </c>
      <c r="I937" s="2" t="s">
        <v>136</v>
      </c>
      <c r="J937" s="2" t="s">
        <v>137</v>
      </c>
      <c r="K937">
        <f>IFERROR(INDEX(Sheet2!$C$2:$C$1132,MATCH(Sheet1!C937,Sheet1!$C$2:$C$1132,0)),"")</f>
        <v>35000</v>
      </c>
      <c r="L937">
        <f>IFERROR(INDEX(Sheet2!$D$2:$D$1132,MATCH(Sheet1!C937,$C$2:$C$1132,0)),"")</f>
        <v>90000</v>
      </c>
      <c r="M937" t="str">
        <f>IFERROR(INDEX($M$2:$M$1132,MATCH(B937,$B$2:$B$1132,0)),"")</f>
        <v>SQL, EXCEL, POWERBI, TABLEAU</v>
      </c>
      <c r="N937" t="s">
        <v>74</v>
      </c>
      <c r="O937" t="s">
        <v>80</v>
      </c>
    </row>
    <row r="938" spans="1:15" x14ac:dyDescent="0.25">
      <c r="A938">
        <v>18786</v>
      </c>
      <c r="B938" t="s">
        <v>14</v>
      </c>
      <c r="C938" t="s">
        <v>35</v>
      </c>
      <c r="D938" t="str">
        <f>IFERROR(INDEX(Sheet2!$B$2:$B$1132,MATCH(Sheet1!C938,Sheet1!$C$2:$C$1132,0)),"IDK")</f>
        <v>SOCIAL</v>
      </c>
      <c r="E938" t="s">
        <v>51</v>
      </c>
      <c r="F938" t="s">
        <v>54</v>
      </c>
      <c r="G938" s="1">
        <v>45612</v>
      </c>
      <c r="H938" t="s">
        <v>58</v>
      </c>
      <c r="I938" s="2" t="s">
        <v>133</v>
      </c>
      <c r="J938" s="2" t="s">
        <v>134</v>
      </c>
      <c r="K938">
        <f>IFERROR(INDEX(Sheet2!$C$2:$C$1132,MATCH(Sheet1!C938,Sheet1!$C$2:$C$1132,0)),"")</f>
        <v>30000</v>
      </c>
      <c r="L938">
        <f>IFERROR(INDEX(Sheet2!$D$2:$D$1132,MATCH(Sheet1!C938,$C$2:$C$1132,0)),"")</f>
        <v>95000</v>
      </c>
      <c r="M938" t="str">
        <f>IFERROR(INDEX($M$2:$M$1132,MATCH(B938,$B$2:$B$1132,0)),"")</f>
        <v>SQL, EXCEL, POWERBI, TABLEAU</v>
      </c>
      <c r="N938" t="s">
        <v>74</v>
      </c>
      <c r="O938" t="s">
        <v>80</v>
      </c>
    </row>
    <row r="939" spans="1:15" x14ac:dyDescent="0.25">
      <c r="A939">
        <v>18787</v>
      </c>
      <c r="B939" t="s">
        <v>14</v>
      </c>
      <c r="C939" t="s">
        <v>36</v>
      </c>
      <c r="D939" t="str">
        <f>IFERROR(INDEX(Sheet2!$B$2:$B$1132,MATCH(Sheet1!C939,Sheet1!$C$2:$C$1132,0)),"IDK")</f>
        <v>IT</v>
      </c>
      <c r="E939" t="s">
        <v>51</v>
      </c>
      <c r="F939" t="s">
        <v>54</v>
      </c>
      <c r="G939" s="1">
        <v>45563</v>
      </c>
      <c r="H939" t="s">
        <v>58</v>
      </c>
      <c r="I939" s="2" t="s">
        <v>146</v>
      </c>
      <c r="J939" s="2" t="s">
        <v>147</v>
      </c>
      <c r="K939">
        <f>IFERROR(INDEX(Sheet2!$C$2:$C$1132,MATCH(Sheet1!C939,Sheet1!$C$2:$C$1132,0)),"")</f>
        <v>50000</v>
      </c>
      <c r="L939">
        <f>IFERROR(INDEX(Sheet2!$D$2:$D$1132,MATCH(Sheet1!C939,$C$2:$C$1132,0)),"")</f>
        <v>100000</v>
      </c>
      <c r="M939" t="str">
        <f>IFERROR(INDEX($M$2:$M$1132,MATCH(B939,$B$2:$B$1132,0)),"")</f>
        <v>SQL, EXCEL, POWERBI, TABLEAU</v>
      </c>
      <c r="N939" t="s">
        <v>74</v>
      </c>
      <c r="O939" t="s">
        <v>80</v>
      </c>
    </row>
    <row r="940" spans="1:15" x14ac:dyDescent="0.25">
      <c r="A940">
        <v>18788</v>
      </c>
      <c r="B940" t="s">
        <v>14</v>
      </c>
      <c r="C940" t="s">
        <v>27</v>
      </c>
      <c r="D940" t="str">
        <f>IFERROR(INDEX(Sheet2!$B$2:$B$1132,MATCH(Sheet1!C940,Sheet1!$C$2:$C$1132,0)),"IDK")</f>
        <v>IT</v>
      </c>
      <c r="E940" t="s">
        <v>51</v>
      </c>
      <c r="F940" t="s">
        <v>54</v>
      </c>
      <c r="G940" s="1">
        <v>45557</v>
      </c>
      <c r="H940" t="s">
        <v>58</v>
      </c>
      <c r="I940" s="2" t="s">
        <v>133</v>
      </c>
      <c r="J940" s="2" t="s">
        <v>134</v>
      </c>
      <c r="K940">
        <f>IFERROR(INDEX(Sheet2!$C$2:$C$1132,MATCH(Sheet1!C940,Sheet1!$C$2:$C$1132,0)),"")</f>
        <v>40000</v>
      </c>
      <c r="L940">
        <f>IFERROR(INDEX(Sheet2!$D$2:$D$1132,MATCH(Sheet1!C940,$C$2:$C$1132,0)),"")</f>
        <v>80000</v>
      </c>
      <c r="M940" t="str">
        <f>IFERROR(INDEX($M$2:$M$1132,MATCH(B940,$B$2:$B$1132,0)),"")</f>
        <v>SQL, EXCEL, POWERBI, TABLEAU</v>
      </c>
      <c r="N940" t="s">
        <v>74</v>
      </c>
      <c r="O940" t="s">
        <v>80</v>
      </c>
    </row>
    <row r="941" spans="1:15" x14ac:dyDescent="0.25">
      <c r="A941">
        <v>18789</v>
      </c>
      <c r="B941" t="s">
        <v>14</v>
      </c>
      <c r="C941" t="s">
        <v>28</v>
      </c>
      <c r="D941" t="str">
        <f>IFERROR(INDEX(Sheet2!$B$2:$B$1132,MATCH(Sheet1!C941,Sheet1!$C$2:$C$1132,0)),"IDK")</f>
        <v>IT</v>
      </c>
      <c r="E941" t="s">
        <v>51</v>
      </c>
      <c r="F941" t="s">
        <v>54</v>
      </c>
      <c r="G941" s="1">
        <v>45617</v>
      </c>
      <c r="H941" t="s">
        <v>58</v>
      </c>
      <c r="I941" s="2" t="s">
        <v>136</v>
      </c>
      <c r="J941" s="2" t="s">
        <v>137</v>
      </c>
      <c r="K941">
        <f>IFERROR(INDEX(Sheet2!$C$2:$C$1132,MATCH(Sheet1!C941,Sheet1!$C$2:$C$1132,0)),"")</f>
        <v>30000</v>
      </c>
      <c r="L941">
        <f>IFERROR(INDEX(Sheet2!$D$2:$D$1132,MATCH(Sheet1!C941,$C$2:$C$1132,0)),"")</f>
        <v>55000</v>
      </c>
      <c r="M941" t="str">
        <f>IFERROR(INDEX($M$2:$M$1132,MATCH(B941,$B$2:$B$1132,0)),"")</f>
        <v>SQL, EXCEL, POWERBI, TABLEAU</v>
      </c>
      <c r="N941" t="s">
        <v>74</v>
      </c>
      <c r="O941" t="s">
        <v>80</v>
      </c>
    </row>
    <row r="942" spans="1:15" x14ac:dyDescent="0.25">
      <c r="A942">
        <v>18790</v>
      </c>
      <c r="B942" t="s">
        <v>14</v>
      </c>
      <c r="C942" t="s">
        <v>29</v>
      </c>
      <c r="D942" t="str">
        <f>IFERROR(INDEX(Sheet2!$B$2:$B$1132,MATCH(Sheet1!C942,Sheet1!$C$2:$C$1132,0)),"IDK")</f>
        <v>IT</v>
      </c>
      <c r="E942" t="s">
        <v>51</v>
      </c>
      <c r="F942" t="s">
        <v>54</v>
      </c>
      <c r="G942" s="1">
        <v>45400</v>
      </c>
      <c r="H942" t="s">
        <v>58</v>
      </c>
      <c r="I942" s="2" t="s">
        <v>131</v>
      </c>
      <c r="J942" s="2" t="s">
        <v>132</v>
      </c>
      <c r="K942">
        <f>IFERROR(INDEX(Sheet2!$C$2:$C$1132,MATCH(Sheet1!C942,Sheet1!$C$2:$C$1132,0)),"")</f>
        <v>35000</v>
      </c>
      <c r="L942">
        <f>IFERROR(INDEX(Sheet2!$D$2:$D$1132,MATCH(Sheet1!C942,$C$2:$C$1132,0)),"")</f>
        <v>70000</v>
      </c>
      <c r="M942" t="str">
        <f>IFERROR(INDEX($M$2:$M$1132,MATCH(B942,$B$2:$B$1132,0)),"")</f>
        <v>SQL, EXCEL, POWERBI, TABLEAU</v>
      </c>
      <c r="N942" t="s">
        <v>74</v>
      </c>
      <c r="O942" t="s">
        <v>80</v>
      </c>
    </row>
    <row r="943" spans="1:15" x14ac:dyDescent="0.25">
      <c r="A943">
        <v>18791</v>
      </c>
      <c r="B943" t="s">
        <v>14</v>
      </c>
      <c r="C943" t="s">
        <v>37</v>
      </c>
      <c r="D943" t="s">
        <v>43</v>
      </c>
      <c r="E943" t="s">
        <v>51</v>
      </c>
      <c r="F943" t="s">
        <v>54</v>
      </c>
      <c r="G943" s="1">
        <v>45487</v>
      </c>
      <c r="H943" t="s">
        <v>58</v>
      </c>
      <c r="I943" s="2" t="s">
        <v>86</v>
      </c>
      <c r="J943" s="2" t="s">
        <v>87</v>
      </c>
      <c r="K943">
        <v>45000</v>
      </c>
      <c r="L943">
        <v>90000</v>
      </c>
      <c r="M943" t="str">
        <f>IFERROR(INDEX($M$2:$M$1132,MATCH(B943,$B$2:$B$1132,0)),"")</f>
        <v>SQL, EXCEL, POWERBI, TABLEAU</v>
      </c>
      <c r="N943" t="s">
        <v>74</v>
      </c>
      <c r="O943" t="s">
        <v>80</v>
      </c>
    </row>
    <row r="944" spans="1:15" x14ac:dyDescent="0.25">
      <c r="A944">
        <v>18792</v>
      </c>
      <c r="B944" t="s">
        <v>14</v>
      </c>
      <c r="C944" t="s">
        <v>38</v>
      </c>
      <c r="D944" t="s">
        <v>42</v>
      </c>
      <c r="E944" t="s">
        <v>51</v>
      </c>
      <c r="F944" t="s">
        <v>54</v>
      </c>
      <c r="G944" s="1">
        <v>45318</v>
      </c>
      <c r="H944" t="s">
        <v>58</v>
      </c>
      <c r="I944" s="2" t="s">
        <v>131</v>
      </c>
      <c r="J944" s="2" t="s">
        <v>132</v>
      </c>
      <c r="K944">
        <v>20000</v>
      </c>
      <c r="L944">
        <v>80000</v>
      </c>
      <c r="M944" t="str">
        <f>IFERROR(INDEX($M$2:$M$1132,MATCH(B944,$B$2:$B$1132,0)),"")</f>
        <v>SQL, EXCEL, POWERBI, TABLEAU</v>
      </c>
      <c r="N944" t="s">
        <v>74</v>
      </c>
      <c r="O944" t="s">
        <v>80</v>
      </c>
    </row>
    <row r="945" spans="1:15" x14ac:dyDescent="0.25">
      <c r="A945">
        <v>18793</v>
      </c>
      <c r="B945" t="s">
        <v>14</v>
      </c>
      <c r="C945" t="s">
        <v>31</v>
      </c>
      <c r="D945" t="str">
        <f>IFERROR(INDEX(Sheet2!$B$2:$B$1132,MATCH(Sheet1!C945,Sheet1!$C$2:$C$1132,0)),"IDK")</f>
        <v>IT</v>
      </c>
      <c r="E945" t="s">
        <v>51</v>
      </c>
      <c r="F945" t="s">
        <v>54</v>
      </c>
      <c r="G945" s="1">
        <v>45541</v>
      </c>
      <c r="H945" t="s">
        <v>58</v>
      </c>
      <c r="I945" s="2" t="s">
        <v>133</v>
      </c>
      <c r="J945" s="2" t="s">
        <v>134</v>
      </c>
      <c r="K945">
        <f>IFERROR(INDEX(Sheet2!$C$2:$C$1132,MATCH(Sheet1!C945,Sheet1!$C$2:$C$1132,0)),"")</f>
        <v>25000</v>
      </c>
      <c r="L945">
        <f>IFERROR(INDEX(Sheet2!$D$2:$D$1132,MATCH(Sheet1!C945,$C$2:$C$1132,0)),"")</f>
        <v>75000</v>
      </c>
      <c r="M945" t="str">
        <f>IFERROR(INDEX($M$2:$M$1132,MATCH(B945,$B$2:$B$1132,0)),"")</f>
        <v>SQL, EXCEL, POWERBI, TABLEAU</v>
      </c>
      <c r="N945" t="s">
        <v>74</v>
      </c>
      <c r="O945" t="s">
        <v>80</v>
      </c>
    </row>
    <row r="946" spans="1:15" x14ac:dyDescent="0.25">
      <c r="A946">
        <v>18794</v>
      </c>
      <c r="B946" t="s">
        <v>14</v>
      </c>
      <c r="C946" t="s">
        <v>35</v>
      </c>
      <c r="D946" t="str">
        <f>IFERROR(INDEX(Sheet2!$B$2:$B$1132,MATCH(Sheet1!C946,Sheet1!$C$2:$C$1132,0)),"IDK")</f>
        <v>SOCIAL</v>
      </c>
      <c r="E946" t="s">
        <v>51</v>
      </c>
      <c r="F946" t="s">
        <v>54</v>
      </c>
      <c r="G946" s="1">
        <v>45570</v>
      </c>
      <c r="H946" t="s">
        <v>58</v>
      </c>
      <c r="I946" s="2" t="s">
        <v>133</v>
      </c>
      <c r="J946" s="2" t="s">
        <v>135</v>
      </c>
      <c r="K946">
        <f>IFERROR(INDEX(Sheet2!$C$2:$C$1132,MATCH(Sheet1!C946,Sheet1!$C$2:$C$1132,0)),"")</f>
        <v>30000</v>
      </c>
      <c r="L946">
        <f>IFERROR(INDEX(Sheet2!$D$2:$D$1132,MATCH(Sheet1!C946,$C$2:$C$1132,0)),"")</f>
        <v>95000</v>
      </c>
      <c r="M946" t="str">
        <f>IFERROR(INDEX($M$2:$M$1132,MATCH(B946,$B$2:$B$1132,0)),"")</f>
        <v>SQL, EXCEL, POWERBI, TABLEAU</v>
      </c>
      <c r="N946" t="s">
        <v>74</v>
      </c>
      <c r="O946" t="s">
        <v>80</v>
      </c>
    </row>
    <row r="947" spans="1:15" x14ac:dyDescent="0.25">
      <c r="A947">
        <v>18795</v>
      </c>
      <c r="B947" t="s">
        <v>14</v>
      </c>
      <c r="C947" t="s">
        <v>36</v>
      </c>
      <c r="D947" t="str">
        <f>IFERROR(INDEX(Sheet2!$B$2:$B$1132,MATCH(Sheet1!C947,Sheet1!$C$2:$C$1132,0)),"IDK")</f>
        <v>IT</v>
      </c>
      <c r="E947" t="s">
        <v>51</v>
      </c>
      <c r="F947" t="s">
        <v>54</v>
      </c>
      <c r="G947" s="1">
        <v>45327</v>
      </c>
      <c r="H947" t="s">
        <v>58</v>
      </c>
      <c r="I947" s="2" t="s">
        <v>136</v>
      </c>
      <c r="J947" s="2" t="s">
        <v>137</v>
      </c>
      <c r="K947">
        <f>IFERROR(INDEX(Sheet2!$C$2:$C$1132,MATCH(Sheet1!C947,Sheet1!$C$2:$C$1132,0)),"")</f>
        <v>50000</v>
      </c>
      <c r="L947">
        <f>IFERROR(INDEX(Sheet2!$D$2:$D$1132,MATCH(Sheet1!C947,$C$2:$C$1132,0)),"")</f>
        <v>100000</v>
      </c>
      <c r="M947" t="str">
        <f>IFERROR(INDEX($M$2:$M$1132,MATCH(B947,$B$2:$B$1132,0)),"")</f>
        <v>SQL, EXCEL, POWERBI, TABLEAU</v>
      </c>
      <c r="N947" t="s">
        <v>74</v>
      </c>
      <c r="O947" t="s">
        <v>80</v>
      </c>
    </row>
    <row r="948" spans="1:15" x14ac:dyDescent="0.25">
      <c r="A948">
        <v>18796</v>
      </c>
      <c r="B948" t="s">
        <v>19</v>
      </c>
      <c r="C948" t="s">
        <v>27</v>
      </c>
      <c r="D948" t="str">
        <f>IFERROR(INDEX(Sheet2!$B$2:$B$1132,MATCH(Sheet1!C948,Sheet1!$C$2:$C$1132,0)),"IDK")</f>
        <v>IT</v>
      </c>
      <c r="E948" t="s">
        <v>51</v>
      </c>
      <c r="F948" t="s">
        <v>54</v>
      </c>
      <c r="G948" s="1">
        <v>45622</v>
      </c>
      <c r="H948" t="s">
        <v>58</v>
      </c>
      <c r="I948" s="2" t="s">
        <v>138</v>
      </c>
      <c r="J948" s="2" t="s">
        <v>139</v>
      </c>
      <c r="K948">
        <f>IFERROR(INDEX(Sheet2!$C$2:$C$1132,MATCH(Sheet1!C948,Sheet1!$C$2:$C$1132,0)),"")</f>
        <v>40000</v>
      </c>
      <c r="L948">
        <f>IFERROR(INDEX(Sheet2!$D$2:$D$1132,MATCH(Sheet1!C948,$C$2:$C$1132,0)),"")</f>
        <v>80000</v>
      </c>
      <c r="M948" t="str">
        <f>IFERROR(INDEX($M$2:$M$1132,MATCH(B948,$B$2:$B$1132,0)),"")</f>
        <v>NETWORK SECURITY, ETHICAL HACKING, RISK ASSESSMENT</v>
      </c>
      <c r="N948" t="s">
        <v>74</v>
      </c>
      <c r="O948" t="s">
        <v>80</v>
      </c>
    </row>
    <row r="949" spans="1:15" x14ac:dyDescent="0.25">
      <c r="A949">
        <v>18797</v>
      </c>
      <c r="B949" t="s">
        <v>19</v>
      </c>
      <c r="C949" t="s">
        <v>28</v>
      </c>
      <c r="D949" t="str">
        <f>IFERROR(INDEX(Sheet2!$B$2:$B$1132,MATCH(Sheet1!C949,Sheet1!$C$2:$C$1132,0)),"IDK")</f>
        <v>IT</v>
      </c>
      <c r="E949" t="s">
        <v>51</v>
      </c>
      <c r="F949" t="s">
        <v>54</v>
      </c>
      <c r="G949" s="1">
        <v>45549</v>
      </c>
      <c r="H949" t="s">
        <v>58</v>
      </c>
      <c r="I949" s="2" t="s">
        <v>140</v>
      </c>
      <c r="J949" s="2" t="s">
        <v>141</v>
      </c>
      <c r="K949">
        <f>IFERROR(INDEX(Sheet2!$C$2:$C$1132,MATCH(Sheet1!C949,Sheet1!$C$2:$C$1132,0)),"")</f>
        <v>30000</v>
      </c>
      <c r="L949">
        <f>IFERROR(INDEX(Sheet2!$D$2:$D$1132,MATCH(Sheet1!C949,$C$2:$C$1132,0)),"")</f>
        <v>55000</v>
      </c>
      <c r="M949" t="str">
        <f>IFERROR(INDEX($M$2:$M$1132,MATCH(B949,$B$2:$B$1132,0)),"")</f>
        <v>NETWORK SECURITY, ETHICAL HACKING, RISK ASSESSMENT</v>
      </c>
      <c r="N949" t="s">
        <v>74</v>
      </c>
      <c r="O949" t="s">
        <v>80</v>
      </c>
    </row>
    <row r="950" spans="1:15" x14ac:dyDescent="0.25">
      <c r="A950">
        <v>18798</v>
      </c>
      <c r="B950" t="s">
        <v>19</v>
      </c>
      <c r="C950" t="s">
        <v>29</v>
      </c>
      <c r="D950" t="str">
        <f>IFERROR(INDEX(Sheet2!$B$2:$B$1132,MATCH(Sheet1!C950,Sheet1!$C$2:$C$1132,0)),"IDK")</f>
        <v>IT</v>
      </c>
      <c r="E950" t="s">
        <v>51</v>
      </c>
      <c r="F950" t="s">
        <v>54</v>
      </c>
      <c r="G950" s="1">
        <v>45392</v>
      </c>
      <c r="H950" t="s">
        <v>58</v>
      </c>
      <c r="I950" s="2" t="s">
        <v>142</v>
      </c>
      <c r="J950" s="2" t="s">
        <v>143</v>
      </c>
      <c r="K950">
        <f>IFERROR(INDEX(Sheet2!$C$2:$C$1132,MATCH(Sheet1!C950,Sheet1!$C$2:$C$1132,0)),"")</f>
        <v>35000</v>
      </c>
      <c r="L950">
        <f>IFERROR(INDEX(Sheet2!$D$2:$D$1132,MATCH(Sheet1!C950,$C$2:$C$1132,0)),"")</f>
        <v>70000</v>
      </c>
      <c r="M950" t="str">
        <f>IFERROR(INDEX($M$2:$M$1132,MATCH(B950,$B$2:$B$1132,0)),"")</f>
        <v>NETWORK SECURITY, ETHICAL HACKING, RISK ASSESSMENT</v>
      </c>
      <c r="N950" t="s">
        <v>74</v>
      </c>
      <c r="O950" t="s">
        <v>80</v>
      </c>
    </row>
    <row r="951" spans="1:15" x14ac:dyDescent="0.25">
      <c r="A951">
        <v>18799</v>
      </c>
      <c r="B951" t="s">
        <v>19</v>
      </c>
      <c r="C951" t="s">
        <v>37</v>
      </c>
      <c r="D951" t="s">
        <v>43</v>
      </c>
      <c r="E951" t="s">
        <v>51</v>
      </c>
      <c r="F951" t="s">
        <v>54</v>
      </c>
      <c r="G951" s="1">
        <v>45397</v>
      </c>
      <c r="H951" t="s">
        <v>58</v>
      </c>
      <c r="I951" s="2" t="s">
        <v>144</v>
      </c>
      <c r="J951" s="2" t="s">
        <v>145</v>
      </c>
      <c r="K951">
        <v>45000</v>
      </c>
      <c r="L951">
        <v>90000</v>
      </c>
      <c r="M951" t="str">
        <f>IFERROR(INDEX($M$2:$M$1132,MATCH(B951,$B$2:$B$1132,0)),"")</f>
        <v>NETWORK SECURITY, ETHICAL HACKING, RISK ASSESSMENT</v>
      </c>
      <c r="N951" t="s">
        <v>74</v>
      </c>
      <c r="O951" t="s">
        <v>80</v>
      </c>
    </row>
    <row r="952" spans="1:15" x14ac:dyDescent="0.25">
      <c r="A952">
        <v>18800</v>
      </c>
      <c r="B952" t="s">
        <v>19</v>
      </c>
      <c r="C952" t="s">
        <v>38</v>
      </c>
      <c r="D952" t="s">
        <v>42</v>
      </c>
      <c r="E952" t="s">
        <v>51</v>
      </c>
      <c r="F952" t="s">
        <v>54</v>
      </c>
      <c r="G952" s="1">
        <v>45648</v>
      </c>
      <c r="H952" t="s">
        <v>58</v>
      </c>
      <c r="I952" s="2" t="s">
        <v>146</v>
      </c>
      <c r="J952" s="2" t="s">
        <v>147</v>
      </c>
      <c r="K952">
        <v>20000</v>
      </c>
      <c r="L952">
        <v>80000</v>
      </c>
      <c r="M952" t="str">
        <f>IFERROR(INDEX($M$2:$M$1132,MATCH(B952,$B$2:$B$1132,0)),"")</f>
        <v>NETWORK SECURITY, ETHICAL HACKING, RISK ASSESSMENT</v>
      </c>
      <c r="N952" t="s">
        <v>74</v>
      </c>
      <c r="O952" t="s">
        <v>80</v>
      </c>
    </row>
    <row r="953" spans="1:15" x14ac:dyDescent="0.25">
      <c r="A953">
        <v>18801</v>
      </c>
      <c r="B953" t="s">
        <v>19</v>
      </c>
      <c r="C953" t="s">
        <v>31</v>
      </c>
      <c r="D953" t="str">
        <f>IFERROR(INDEX(Sheet2!$B$2:$B$1132,MATCH(Sheet1!C953,Sheet1!$C$2:$C$1132,0)),"IDK")</f>
        <v>IT</v>
      </c>
      <c r="E953" t="s">
        <v>51</v>
      </c>
      <c r="F953" t="s">
        <v>54</v>
      </c>
      <c r="G953" s="1">
        <v>45398</v>
      </c>
      <c r="H953" t="s">
        <v>58</v>
      </c>
      <c r="I953" s="2" t="s">
        <v>136</v>
      </c>
      <c r="J953" s="2" t="s">
        <v>137</v>
      </c>
      <c r="K953">
        <f>IFERROR(INDEX(Sheet2!$C$2:$C$1132,MATCH(Sheet1!C953,Sheet1!$C$2:$C$1132,0)),"")</f>
        <v>25000</v>
      </c>
      <c r="L953">
        <f>IFERROR(INDEX(Sheet2!$D$2:$D$1132,MATCH(Sheet1!C953,$C$2:$C$1132,0)),"")</f>
        <v>75000</v>
      </c>
      <c r="M953" t="str">
        <f>IFERROR(INDEX($M$2:$M$1132,MATCH(B953,$B$2:$B$1132,0)),"")</f>
        <v>NETWORK SECURITY, ETHICAL HACKING, RISK ASSESSMENT</v>
      </c>
      <c r="N953" t="s">
        <v>74</v>
      </c>
      <c r="O953" t="s">
        <v>80</v>
      </c>
    </row>
    <row r="954" spans="1:15" x14ac:dyDescent="0.25">
      <c r="A954">
        <v>18802</v>
      </c>
      <c r="B954" t="s">
        <v>19</v>
      </c>
      <c r="C954" t="s">
        <v>35</v>
      </c>
      <c r="D954" t="str">
        <f>IFERROR(INDEX(Sheet2!$B$2:$B$1132,MATCH(Sheet1!C954,Sheet1!$C$2:$C$1132,0)),"IDK")</f>
        <v>SOCIAL</v>
      </c>
      <c r="E954" t="s">
        <v>51</v>
      </c>
      <c r="F954" t="s">
        <v>54</v>
      </c>
      <c r="G954" s="1">
        <v>45589</v>
      </c>
      <c r="H954" t="s">
        <v>58</v>
      </c>
      <c r="I954" s="2" t="s">
        <v>138</v>
      </c>
      <c r="J954" s="2" t="s">
        <v>139</v>
      </c>
      <c r="K954">
        <f>IFERROR(INDEX(Sheet2!$C$2:$C$1132,MATCH(Sheet1!C954,Sheet1!$C$2:$C$1132,0)),"")</f>
        <v>30000</v>
      </c>
      <c r="L954">
        <f>IFERROR(INDEX(Sheet2!$D$2:$D$1132,MATCH(Sheet1!C954,$C$2:$C$1132,0)),"")</f>
        <v>95000</v>
      </c>
      <c r="M954" t="str">
        <f>IFERROR(INDEX($M$2:$M$1132,MATCH(B954,$B$2:$B$1132,0)),"")</f>
        <v>NETWORK SECURITY, ETHICAL HACKING, RISK ASSESSMENT</v>
      </c>
      <c r="N954" t="s">
        <v>74</v>
      </c>
      <c r="O954" t="s">
        <v>80</v>
      </c>
    </row>
    <row r="955" spans="1:15" x14ac:dyDescent="0.25">
      <c r="A955">
        <v>18803</v>
      </c>
      <c r="B955" t="s">
        <v>19</v>
      </c>
      <c r="C955" t="s">
        <v>36</v>
      </c>
      <c r="D955" t="str">
        <f>IFERROR(INDEX(Sheet2!$B$2:$B$1132,MATCH(Sheet1!C955,Sheet1!$C$2:$C$1132,0)),"IDK")</f>
        <v>IT</v>
      </c>
      <c r="E955" t="s">
        <v>51</v>
      </c>
      <c r="F955" t="s">
        <v>54</v>
      </c>
      <c r="G955" s="1">
        <v>45609</v>
      </c>
      <c r="H955" t="s">
        <v>58</v>
      </c>
      <c r="I955" s="2" t="s">
        <v>140</v>
      </c>
      <c r="J955" s="2" t="s">
        <v>141</v>
      </c>
      <c r="K955">
        <f>IFERROR(INDEX(Sheet2!$C$2:$C$1132,MATCH(Sheet1!C955,Sheet1!$C$2:$C$1132,0)),"")</f>
        <v>50000</v>
      </c>
      <c r="L955">
        <f>IFERROR(INDEX(Sheet2!$D$2:$D$1132,MATCH(Sheet1!C955,$C$2:$C$1132,0)),"")</f>
        <v>100000</v>
      </c>
      <c r="M955" t="str">
        <f>IFERROR(INDEX($M$2:$M$1132,MATCH(B955,$B$2:$B$1132,0)),"")</f>
        <v>NETWORK SECURITY, ETHICAL HACKING, RISK ASSESSMENT</v>
      </c>
      <c r="N955" t="s">
        <v>74</v>
      </c>
      <c r="O955" t="s">
        <v>80</v>
      </c>
    </row>
    <row r="956" spans="1:15" x14ac:dyDescent="0.25">
      <c r="A956">
        <v>18804</v>
      </c>
      <c r="B956" t="s">
        <v>19</v>
      </c>
      <c r="C956" t="s">
        <v>27</v>
      </c>
      <c r="D956" t="str">
        <f>IFERROR(INDEX(Sheet2!$B$2:$B$1132,MATCH(Sheet1!C956,Sheet1!$C$2:$C$1132,0)),"IDK")</f>
        <v>IT</v>
      </c>
      <c r="E956" t="s">
        <v>51</v>
      </c>
      <c r="F956" t="s">
        <v>54</v>
      </c>
      <c r="G956" s="1">
        <v>45648</v>
      </c>
      <c r="H956" t="s">
        <v>58</v>
      </c>
      <c r="I956" s="2" t="s">
        <v>142</v>
      </c>
      <c r="J956" s="2" t="s">
        <v>143</v>
      </c>
      <c r="K956">
        <f>IFERROR(INDEX(Sheet2!$C$2:$C$1132,MATCH(Sheet1!C956,Sheet1!$C$2:$C$1132,0)),"")</f>
        <v>40000</v>
      </c>
      <c r="L956">
        <f>IFERROR(INDEX(Sheet2!$D$2:$D$1132,MATCH(Sheet1!C956,$C$2:$C$1132,0)),"")</f>
        <v>80000</v>
      </c>
      <c r="M956" t="str">
        <f>IFERROR(INDEX($M$2:$M$1132,MATCH(B956,$B$2:$B$1132,0)),"")</f>
        <v>NETWORK SECURITY, ETHICAL HACKING, RISK ASSESSMENT</v>
      </c>
      <c r="N956" t="s">
        <v>74</v>
      </c>
      <c r="O956" t="s">
        <v>80</v>
      </c>
    </row>
    <row r="957" spans="1:15" x14ac:dyDescent="0.25">
      <c r="A957">
        <v>18805</v>
      </c>
      <c r="B957" t="s">
        <v>19</v>
      </c>
      <c r="C957" t="s">
        <v>28</v>
      </c>
      <c r="D957" t="str">
        <f>IFERROR(INDEX(Sheet2!$B$2:$B$1132,MATCH(Sheet1!C957,Sheet1!$C$2:$C$1132,0)),"IDK")</f>
        <v>IT</v>
      </c>
      <c r="E957" t="s">
        <v>51</v>
      </c>
      <c r="F957" t="s">
        <v>54</v>
      </c>
      <c r="G957" s="1">
        <v>45487</v>
      </c>
      <c r="H957" t="s">
        <v>58</v>
      </c>
      <c r="I957" s="2" t="s">
        <v>144</v>
      </c>
      <c r="J957" s="2" t="s">
        <v>145</v>
      </c>
      <c r="K957">
        <f>IFERROR(INDEX(Sheet2!$C$2:$C$1132,MATCH(Sheet1!C957,Sheet1!$C$2:$C$1132,0)),"")</f>
        <v>30000</v>
      </c>
      <c r="L957">
        <f>IFERROR(INDEX(Sheet2!$D$2:$D$1132,MATCH(Sheet1!C957,$C$2:$C$1132,0)),"")</f>
        <v>55000</v>
      </c>
      <c r="M957" t="str">
        <f>IFERROR(INDEX($M$2:$M$1132,MATCH(B957,$B$2:$B$1132,0)),"")</f>
        <v>NETWORK SECURITY, ETHICAL HACKING, RISK ASSESSMENT</v>
      </c>
      <c r="N957" t="s">
        <v>74</v>
      </c>
      <c r="O957" t="s">
        <v>80</v>
      </c>
    </row>
    <row r="958" spans="1:15" x14ac:dyDescent="0.25">
      <c r="A958">
        <v>18806</v>
      </c>
      <c r="B958" t="s">
        <v>19</v>
      </c>
      <c r="C958" t="s">
        <v>29</v>
      </c>
      <c r="D958" t="str">
        <f>IFERROR(INDEX(Sheet2!$B$2:$B$1132,MATCH(Sheet1!C958,Sheet1!$C$2:$C$1132,0)),"IDK")</f>
        <v>IT</v>
      </c>
      <c r="E958" t="s">
        <v>51</v>
      </c>
      <c r="F958" t="s">
        <v>54</v>
      </c>
      <c r="G958" s="1">
        <v>45338</v>
      </c>
      <c r="H958" t="s">
        <v>58</v>
      </c>
      <c r="I958" s="2" t="s">
        <v>146</v>
      </c>
      <c r="J958" s="2" t="s">
        <v>147</v>
      </c>
      <c r="K958">
        <f>IFERROR(INDEX(Sheet2!$C$2:$C$1132,MATCH(Sheet1!C958,Sheet1!$C$2:$C$1132,0)),"")</f>
        <v>35000</v>
      </c>
      <c r="L958">
        <f>IFERROR(INDEX(Sheet2!$D$2:$D$1132,MATCH(Sheet1!C958,$C$2:$C$1132,0)),"")</f>
        <v>70000</v>
      </c>
      <c r="M958" t="str">
        <f>IFERROR(INDEX($M$2:$M$1132,MATCH(B958,$B$2:$B$1132,0)),"")</f>
        <v>NETWORK SECURITY, ETHICAL HACKING, RISK ASSESSMENT</v>
      </c>
      <c r="N958" t="s">
        <v>74</v>
      </c>
      <c r="O958" t="s">
        <v>80</v>
      </c>
    </row>
    <row r="959" spans="1:15" x14ac:dyDescent="0.25">
      <c r="A959">
        <v>18807</v>
      </c>
      <c r="B959" t="s">
        <v>19</v>
      </c>
      <c r="C959" t="s">
        <v>37</v>
      </c>
      <c r="D959" t="s">
        <v>43</v>
      </c>
      <c r="E959" t="s">
        <v>51</v>
      </c>
      <c r="F959" t="s">
        <v>54</v>
      </c>
      <c r="G959" s="1">
        <v>45350</v>
      </c>
      <c r="H959" t="s">
        <v>58</v>
      </c>
      <c r="I959" s="2" t="s">
        <v>129</v>
      </c>
      <c r="J959" s="2" t="s">
        <v>130</v>
      </c>
      <c r="K959">
        <v>45000</v>
      </c>
      <c r="L959">
        <v>90000</v>
      </c>
      <c r="M959" t="str">
        <f>IFERROR(INDEX($M$2:$M$1132,MATCH(B959,$B$2:$B$1132,0)),"")</f>
        <v>NETWORK SECURITY, ETHICAL HACKING, RISK ASSESSMENT</v>
      </c>
      <c r="N959" t="s">
        <v>74</v>
      </c>
      <c r="O959" t="s">
        <v>80</v>
      </c>
    </row>
    <row r="960" spans="1:15" x14ac:dyDescent="0.25">
      <c r="A960">
        <v>18808</v>
      </c>
      <c r="B960" t="s">
        <v>19</v>
      </c>
      <c r="C960" t="s">
        <v>38</v>
      </c>
      <c r="D960" t="s">
        <v>42</v>
      </c>
      <c r="E960" t="s">
        <v>51</v>
      </c>
      <c r="F960" t="s">
        <v>54</v>
      </c>
      <c r="G960" s="1">
        <v>45564</v>
      </c>
      <c r="H960" t="s">
        <v>58</v>
      </c>
      <c r="I960" s="2" t="s">
        <v>131</v>
      </c>
      <c r="J960" s="2" t="s">
        <v>132</v>
      </c>
      <c r="K960">
        <v>20000</v>
      </c>
      <c r="L960">
        <v>80000</v>
      </c>
      <c r="M960" t="str">
        <f>IFERROR(INDEX($M$2:$M$1132,MATCH(B960,$B$2:$B$1132,0)),"")</f>
        <v>NETWORK SECURITY, ETHICAL HACKING, RISK ASSESSMENT</v>
      </c>
      <c r="N960" t="s">
        <v>74</v>
      </c>
      <c r="O960" t="s">
        <v>80</v>
      </c>
    </row>
    <row r="961" spans="1:15" x14ac:dyDescent="0.25">
      <c r="A961">
        <v>18809</v>
      </c>
      <c r="B961" t="s">
        <v>19</v>
      </c>
      <c r="C961" t="s">
        <v>31</v>
      </c>
      <c r="D961" t="str">
        <f>IFERROR(INDEX(Sheet2!$B$2:$B$1132,MATCH(Sheet1!C961,Sheet1!$C$2:$C$1132,0)),"IDK")</f>
        <v>IT</v>
      </c>
      <c r="E961" t="s">
        <v>51</v>
      </c>
      <c r="F961" t="s">
        <v>54</v>
      </c>
      <c r="G961" s="1">
        <v>45509</v>
      </c>
      <c r="H961" t="s">
        <v>58</v>
      </c>
      <c r="I961" s="2" t="s">
        <v>133</v>
      </c>
      <c r="J961" s="2" t="s">
        <v>134</v>
      </c>
      <c r="K961">
        <f>IFERROR(INDEX(Sheet2!$C$2:$C$1132,MATCH(Sheet1!C961,Sheet1!$C$2:$C$1132,0)),"")</f>
        <v>25000</v>
      </c>
      <c r="L961">
        <f>IFERROR(INDEX(Sheet2!$D$2:$D$1132,MATCH(Sheet1!C961,$C$2:$C$1132,0)),"")</f>
        <v>75000</v>
      </c>
      <c r="M961" t="str">
        <f>IFERROR(INDEX($M$2:$M$1132,MATCH(B961,$B$2:$B$1132,0)),"")</f>
        <v>NETWORK SECURITY, ETHICAL HACKING, RISK ASSESSMENT</v>
      </c>
      <c r="N961" t="s">
        <v>74</v>
      </c>
      <c r="O961" t="s">
        <v>80</v>
      </c>
    </row>
    <row r="962" spans="1:15" x14ac:dyDescent="0.25">
      <c r="A962">
        <v>18810</v>
      </c>
      <c r="B962" t="s">
        <v>19</v>
      </c>
      <c r="C962" t="s">
        <v>35</v>
      </c>
      <c r="D962" t="str">
        <f>IFERROR(INDEX(Sheet2!$B$2:$B$1132,MATCH(Sheet1!C962,Sheet1!$C$2:$C$1132,0)),"IDK")</f>
        <v>SOCIAL</v>
      </c>
      <c r="E962" t="s">
        <v>51</v>
      </c>
      <c r="F962" t="s">
        <v>54</v>
      </c>
      <c r="G962" s="1">
        <v>45418</v>
      </c>
      <c r="H962" t="s">
        <v>58</v>
      </c>
      <c r="I962" s="2" t="s">
        <v>133</v>
      </c>
      <c r="J962" s="2" t="s">
        <v>135</v>
      </c>
      <c r="K962">
        <f>IFERROR(INDEX(Sheet2!$C$2:$C$1132,MATCH(Sheet1!C962,Sheet1!$C$2:$C$1132,0)),"")</f>
        <v>30000</v>
      </c>
      <c r="L962">
        <f>IFERROR(INDEX(Sheet2!$D$2:$D$1132,MATCH(Sheet1!C962,$C$2:$C$1132,0)),"")</f>
        <v>95000</v>
      </c>
      <c r="M962" t="str">
        <f>IFERROR(INDEX($M$2:$M$1132,MATCH(B962,$B$2:$B$1132,0)),"")</f>
        <v>NETWORK SECURITY, ETHICAL HACKING, RISK ASSESSMENT</v>
      </c>
      <c r="N962" t="s">
        <v>74</v>
      </c>
      <c r="O962" t="s">
        <v>80</v>
      </c>
    </row>
    <row r="963" spans="1:15" x14ac:dyDescent="0.25">
      <c r="A963">
        <v>18811</v>
      </c>
      <c r="B963" t="s">
        <v>19</v>
      </c>
      <c r="C963" t="s">
        <v>36</v>
      </c>
      <c r="D963" t="str">
        <f>IFERROR(INDEX(Sheet2!$B$2:$B$1132,MATCH(Sheet1!C963,Sheet1!$C$2:$C$1132,0)),"IDK")</f>
        <v>IT</v>
      </c>
      <c r="E963" t="s">
        <v>51</v>
      </c>
      <c r="F963" t="s">
        <v>54</v>
      </c>
      <c r="G963" s="1">
        <v>45310</v>
      </c>
      <c r="H963" t="s">
        <v>58</v>
      </c>
      <c r="I963" s="2" t="s">
        <v>136</v>
      </c>
      <c r="J963" s="2" t="s">
        <v>137</v>
      </c>
      <c r="K963">
        <f>IFERROR(INDEX(Sheet2!$C$2:$C$1132,MATCH(Sheet1!C963,Sheet1!$C$2:$C$1132,0)),"")</f>
        <v>50000</v>
      </c>
      <c r="L963">
        <f>IFERROR(INDEX(Sheet2!$D$2:$D$1132,MATCH(Sheet1!C963,$C$2:$C$1132,0)),"")</f>
        <v>100000</v>
      </c>
      <c r="M963" t="str">
        <f>IFERROR(INDEX($M$2:$M$1132,MATCH(B963,$B$2:$B$1132,0)),"")</f>
        <v>NETWORK SECURITY, ETHICAL HACKING, RISK ASSESSMENT</v>
      </c>
      <c r="N963" t="s">
        <v>74</v>
      </c>
      <c r="O963" t="s">
        <v>80</v>
      </c>
    </row>
    <row r="964" spans="1:15" x14ac:dyDescent="0.25">
      <c r="A964">
        <v>18812</v>
      </c>
      <c r="B964" t="s">
        <v>19</v>
      </c>
      <c r="C964" t="s">
        <v>27</v>
      </c>
      <c r="D964" t="str">
        <f>IFERROR(INDEX(Sheet2!$B$2:$B$1132,MATCH(Sheet1!C964,Sheet1!$C$2:$C$1132,0)),"IDK")</f>
        <v>IT</v>
      </c>
      <c r="E964" t="s">
        <v>51</v>
      </c>
      <c r="F964" t="s">
        <v>54</v>
      </c>
      <c r="G964" s="1">
        <v>45332</v>
      </c>
      <c r="H964" t="s">
        <v>58</v>
      </c>
      <c r="I964" s="2" t="s">
        <v>138</v>
      </c>
      <c r="J964" s="2" t="s">
        <v>139</v>
      </c>
      <c r="K964">
        <f>IFERROR(INDEX(Sheet2!$C$2:$C$1132,MATCH(Sheet1!C964,Sheet1!$C$2:$C$1132,0)),"")</f>
        <v>40000</v>
      </c>
      <c r="L964">
        <f>IFERROR(INDEX(Sheet2!$D$2:$D$1132,MATCH(Sheet1!C964,$C$2:$C$1132,0)),"")</f>
        <v>80000</v>
      </c>
      <c r="M964" t="str">
        <f>IFERROR(INDEX($M$2:$M$1132,MATCH(B964,$B$2:$B$1132,0)),"")</f>
        <v>NETWORK SECURITY, ETHICAL HACKING, RISK ASSESSMENT</v>
      </c>
      <c r="N964" t="s">
        <v>74</v>
      </c>
      <c r="O964" t="s">
        <v>80</v>
      </c>
    </row>
    <row r="965" spans="1:15" x14ac:dyDescent="0.25">
      <c r="A965">
        <v>18813</v>
      </c>
      <c r="B965" t="s">
        <v>19</v>
      </c>
      <c r="C965" t="s">
        <v>28</v>
      </c>
      <c r="D965" t="str">
        <f>IFERROR(INDEX(Sheet2!$B$2:$B$1132,MATCH(Sheet1!C965,Sheet1!$C$2:$C$1132,0)),"IDK")</f>
        <v>IT</v>
      </c>
      <c r="E965" t="s">
        <v>51</v>
      </c>
      <c r="F965" t="s">
        <v>54</v>
      </c>
      <c r="G965" s="1">
        <v>45420</v>
      </c>
      <c r="H965" t="s">
        <v>58</v>
      </c>
      <c r="I965" s="2" t="s">
        <v>140</v>
      </c>
      <c r="J965" s="2" t="s">
        <v>141</v>
      </c>
      <c r="K965">
        <f>IFERROR(INDEX(Sheet2!$C$2:$C$1132,MATCH(Sheet1!C965,Sheet1!$C$2:$C$1132,0)),"")</f>
        <v>30000</v>
      </c>
      <c r="L965">
        <f>IFERROR(INDEX(Sheet2!$D$2:$D$1132,MATCH(Sheet1!C965,$C$2:$C$1132,0)),"")</f>
        <v>55000</v>
      </c>
      <c r="M965" t="str">
        <f>IFERROR(INDEX($M$2:$M$1132,MATCH(B965,$B$2:$B$1132,0)),"")</f>
        <v>NETWORK SECURITY, ETHICAL HACKING, RISK ASSESSMENT</v>
      </c>
      <c r="N965" t="s">
        <v>74</v>
      </c>
      <c r="O965" t="s">
        <v>80</v>
      </c>
    </row>
    <row r="966" spans="1:15" x14ac:dyDescent="0.25">
      <c r="A966">
        <v>18814</v>
      </c>
      <c r="B966" t="s">
        <v>19</v>
      </c>
      <c r="C966" t="s">
        <v>29</v>
      </c>
      <c r="D966" t="str">
        <f>IFERROR(INDEX(Sheet2!$B$2:$B$1132,MATCH(Sheet1!C966,Sheet1!$C$2:$C$1132,0)),"IDK")</f>
        <v>IT</v>
      </c>
      <c r="E966" t="s">
        <v>51</v>
      </c>
      <c r="F966" t="s">
        <v>54</v>
      </c>
      <c r="G966" s="1">
        <v>45515</v>
      </c>
      <c r="H966" t="s">
        <v>58</v>
      </c>
      <c r="I966" s="2" t="s">
        <v>140</v>
      </c>
      <c r="J966" s="2" t="s">
        <v>141</v>
      </c>
      <c r="K966">
        <f>IFERROR(INDEX(Sheet2!$C$2:$C$1132,MATCH(Sheet1!C966,Sheet1!$C$2:$C$1132,0)),"")</f>
        <v>35000</v>
      </c>
      <c r="L966">
        <f>IFERROR(INDEX(Sheet2!$D$2:$D$1132,MATCH(Sheet1!C966,$C$2:$C$1132,0)),"")</f>
        <v>70000</v>
      </c>
      <c r="M966" t="str">
        <f>IFERROR(INDEX($M$2:$M$1132,MATCH(B966,$B$2:$B$1132,0)),"")</f>
        <v>NETWORK SECURITY, ETHICAL HACKING, RISK ASSESSMENT</v>
      </c>
      <c r="N966" t="s">
        <v>74</v>
      </c>
      <c r="O966" t="s">
        <v>80</v>
      </c>
    </row>
    <row r="967" spans="1:15" x14ac:dyDescent="0.25">
      <c r="A967">
        <v>18815</v>
      </c>
      <c r="B967" t="s">
        <v>19</v>
      </c>
      <c r="C967" t="s">
        <v>37</v>
      </c>
      <c r="D967" t="s">
        <v>43</v>
      </c>
      <c r="E967" t="s">
        <v>51</v>
      </c>
      <c r="F967" t="s">
        <v>54</v>
      </c>
      <c r="G967" s="1">
        <v>45548</v>
      </c>
      <c r="H967" t="s">
        <v>58</v>
      </c>
      <c r="I967" s="2" t="s">
        <v>140</v>
      </c>
      <c r="J967" s="2" t="s">
        <v>141</v>
      </c>
      <c r="K967">
        <v>45000</v>
      </c>
      <c r="L967">
        <v>90000</v>
      </c>
      <c r="M967" t="str">
        <f>IFERROR(INDEX($M$2:$M$1132,MATCH(B967,$B$2:$B$1132,0)),"")</f>
        <v>NETWORK SECURITY, ETHICAL HACKING, RISK ASSESSMENT</v>
      </c>
      <c r="N967" t="s">
        <v>74</v>
      </c>
      <c r="O967" t="s">
        <v>80</v>
      </c>
    </row>
    <row r="968" spans="1:15" x14ac:dyDescent="0.25">
      <c r="A968">
        <v>18816</v>
      </c>
      <c r="B968" t="s">
        <v>19</v>
      </c>
      <c r="C968" t="s">
        <v>38</v>
      </c>
      <c r="D968" t="s">
        <v>42</v>
      </c>
      <c r="E968" t="s">
        <v>51</v>
      </c>
      <c r="F968" t="s">
        <v>54</v>
      </c>
      <c r="G968" s="1">
        <v>45335</v>
      </c>
      <c r="H968" t="s">
        <v>58</v>
      </c>
      <c r="I968" s="2" t="s">
        <v>140</v>
      </c>
      <c r="J968" s="2" t="s">
        <v>141</v>
      </c>
      <c r="K968">
        <v>20000</v>
      </c>
      <c r="L968">
        <v>80000</v>
      </c>
      <c r="M968" t="str">
        <f>IFERROR(INDEX($M$2:$M$1132,MATCH(B968,$B$2:$B$1132,0)),"")</f>
        <v>NETWORK SECURITY, ETHICAL HACKING, RISK ASSESSMENT</v>
      </c>
      <c r="N968" t="s">
        <v>74</v>
      </c>
      <c r="O968" t="s">
        <v>80</v>
      </c>
    </row>
    <row r="969" spans="1:15" x14ac:dyDescent="0.25">
      <c r="A969">
        <v>18817</v>
      </c>
      <c r="B969" t="s">
        <v>19</v>
      </c>
      <c r="C969" t="s">
        <v>31</v>
      </c>
      <c r="D969" t="str">
        <f>IFERROR(INDEX(Sheet2!$B$2:$B$1132,MATCH(Sheet1!C969,Sheet1!$C$2:$C$1132,0)),"IDK")</f>
        <v>IT</v>
      </c>
      <c r="E969" t="s">
        <v>51</v>
      </c>
      <c r="F969" t="s">
        <v>54</v>
      </c>
      <c r="G969" s="1">
        <v>45627</v>
      </c>
      <c r="H969" t="s">
        <v>58</v>
      </c>
      <c r="I969" s="2" t="s">
        <v>140</v>
      </c>
      <c r="J969" s="2" t="s">
        <v>141</v>
      </c>
      <c r="K969">
        <f>IFERROR(INDEX(Sheet2!$C$2:$C$1132,MATCH(Sheet1!C969,Sheet1!$C$2:$C$1132,0)),"")</f>
        <v>25000</v>
      </c>
      <c r="L969">
        <f>IFERROR(INDEX(Sheet2!$D$2:$D$1132,MATCH(Sheet1!C969,$C$2:$C$1132,0)),"")</f>
        <v>75000</v>
      </c>
      <c r="M969" t="str">
        <f>IFERROR(INDEX($M$2:$M$1132,MATCH(B969,$B$2:$B$1132,0)),"")</f>
        <v>NETWORK SECURITY, ETHICAL HACKING, RISK ASSESSMENT</v>
      </c>
      <c r="N969" t="s">
        <v>75</v>
      </c>
      <c r="O969" t="s">
        <v>80</v>
      </c>
    </row>
    <row r="970" spans="1:15" x14ac:dyDescent="0.25">
      <c r="A970">
        <v>18818</v>
      </c>
      <c r="B970" t="s">
        <v>19</v>
      </c>
      <c r="C970" t="s">
        <v>35</v>
      </c>
      <c r="D970" t="str">
        <f>IFERROR(INDEX(Sheet2!$B$2:$B$1132,MATCH(Sheet1!C970,Sheet1!$C$2:$C$1132,0)),"IDK")</f>
        <v>SOCIAL</v>
      </c>
      <c r="E970" t="s">
        <v>51</v>
      </c>
      <c r="F970" t="s">
        <v>54</v>
      </c>
      <c r="G970" s="1">
        <v>45487</v>
      </c>
      <c r="H970" t="s">
        <v>58</v>
      </c>
      <c r="I970" s="2" t="s">
        <v>136</v>
      </c>
      <c r="J970" s="2" t="s">
        <v>137</v>
      </c>
      <c r="K970">
        <f>IFERROR(INDEX(Sheet2!$C$2:$C$1132,MATCH(Sheet1!C970,Sheet1!$C$2:$C$1132,0)),"")</f>
        <v>30000</v>
      </c>
      <c r="L970">
        <f>IFERROR(INDEX(Sheet2!$D$2:$D$1132,MATCH(Sheet1!C970,$C$2:$C$1132,0)),"")</f>
        <v>95000</v>
      </c>
      <c r="M970" t="str">
        <f>IFERROR(INDEX($M$2:$M$1132,MATCH(B970,$B$2:$B$1132,0)),"")</f>
        <v>NETWORK SECURITY, ETHICAL HACKING, RISK ASSESSMENT</v>
      </c>
      <c r="N970" t="s">
        <v>75</v>
      </c>
      <c r="O970" t="s">
        <v>80</v>
      </c>
    </row>
    <row r="971" spans="1:15" x14ac:dyDescent="0.25">
      <c r="A971">
        <v>18819</v>
      </c>
      <c r="B971" t="s">
        <v>19</v>
      </c>
      <c r="C971" t="s">
        <v>36</v>
      </c>
      <c r="D971" t="str">
        <f>IFERROR(INDEX(Sheet2!$B$2:$B$1132,MATCH(Sheet1!C971,Sheet1!$C$2:$C$1132,0)),"IDK")</f>
        <v>IT</v>
      </c>
      <c r="E971" t="s">
        <v>51</v>
      </c>
      <c r="F971" t="s">
        <v>54</v>
      </c>
      <c r="G971" s="1">
        <v>45581</v>
      </c>
      <c r="H971" t="s">
        <v>58</v>
      </c>
      <c r="I971" s="2" t="s">
        <v>136</v>
      </c>
      <c r="J971" s="2" t="s">
        <v>137</v>
      </c>
      <c r="K971">
        <f>IFERROR(INDEX(Sheet2!$C$2:$C$1132,MATCH(Sheet1!C971,Sheet1!$C$2:$C$1132,0)),"")</f>
        <v>50000</v>
      </c>
      <c r="L971">
        <f>IFERROR(INDEX(Sheet2!$D$2:$D$1132,MATCH(Sheet1!C971,$C$2:$C$1132,0)),"")</f>
        <v>100000</v>
      </c>
      <c r="M971" t="str">
        <f>IFERROR(INDEX($M$2:$M$1132,MATCH(B971,$B$2:$B$1132,0)),"")</f>
        <v>NETWORK SECURITY, ETHICAL HACKING, RISK ASSESSMENT</v>
      </c>
      <c r="N971" t="s">
        <v>75</v>
      </c>
      <c r="O971" t="s">
        <v>80</v>
      </c>
    </row>
    <row r="972" spans="1:15" x14ac:dyDescent="0.25">
      <c r="A972">
        <v>18820</v>
      </c>
      <c r="B972" t="s">
        <v>19</v>
      </c>
      <c r="C972" t="s">
        <v>27</v>
      </c>
      <c r="D972" t="str">
        <f>IFERROR(INDEX(Sheet2!$B$2:$B$1132,MATCH(Sheet1!C972,Sheet1!$C$2:$C$1132,0)),"IDK")</f>
        <v>IT</v>
      </c>
      <c r="E972" t="s">
        <v>51</v>
      </c>
      <c r="F972" t="s">
        <v>54</v>
      </c>
      <c r="G972" s="1">
        <v>45473</v>
      </c>
      <c r="H972" t="s">
        <v>58</v>
      </c>
      <c r="I972" s="2" t="s">
        <v>136</v>
      </c>
      <c r="J972" s="2" t="s">
        <v>137</v>
      </c>
      <c r="K972">
        <f>IFERROR(INDEX(Sheet2!$C$2:$C$1132,MATCH(Sheet1!C972,Sheet1!$C$2:$C$1132,0)),"")</f>
        <v>40000</v>
      </c>
      <c r="L972">
        <f>IFERROR(INDEX(Sheet2!$D$2:$D$1132,MATCH(Sheet1!C972,$C$2:$C$1132,0)),"")</f>
        <v>80000</v>
      </c>
      <c r="M972" t="str">
        <f>IFERROR(INDEX($M$2:$M$1132,MATCH(B972,$B$2:$B$1132,0)),"")</f>
        <v>NETWORK SECURITY, ETHICAL HACKING, RISK ASSESSMENT</v>
      </c>
      <c r="N972" t="s">
        <v>76</v>
      </c>
      <c r="O972" t="s">
        <v>80</v>
      </c>
    </row>
    <row r="973" spans="1:15" x14ac:dyDescent="0.25">
      <c r="A973">
        <v>18821</v>
      </c>
      <c r="B973" t="s">
        <v>19</v>
      </c>
      <c r="C973" t="s">
        <v>28</v>
      </c>
      <c r="D973" t="str">
        <f>IFERROR(INDEX(Sheet2!$B$2:$B$1132,MATCH(Sheet1!C973,Sheet1!$C$2:$C$1132,0)),"IDK")</f>
        <v>IT</v>
      </c>
      <c r="E973" t="s">
        <v>51</v>
      </c>
      <c r="F973" t="s">
        <v>54</v>
      </c>
      <c r="G973" s="1">
        <v>45470</v>
      </c>
      <c r="H973" t="s">
        <v>58</v>
      </c>
      <c r="I973" s="2" t="s">
        <v>131</v>
      </c>
      <c r="J973" s="2" t="s">
        <v>132</v>
      </c>
      <c r="K973">
        <f>IFERROR(INDEX(Sheet2!$C$2:$C$1132,MATCH(Sheet1!C973,Sheet1!$C$2:$C$1132,0)),"")</f>
        <v>30000</v>
      </c>
      <c r="L973">
        <f>IFERROR(INDEX(Sheet2!$D$2:$D$1132,MATCH(Sheet1!C973,$C$2:$C$1132,0)),"")</f>
        <v>55000</v>
      </c>
      <c r="M973" t="str">
        <f>IFERROR(INDEX($M$2:$M$1132,MATCH(B973,$B$2:$B$1132,0)),"")</f>
        <v>NETWORK SECURITY, ETHICAL HACKING, RISK ASSESSMENT</v>
      </c>
      <c r="N973" t="s">
        <v>76</v>
      </c>
      <c r="O973" t="s">
        <v>80</v>
      </c>
    </row>
    <row r="974" spans="1:15" x14ac:dyDescent="0.25">
      <c r="A974">
        <v>18822</v>
      </c>
      <c r="B974" t="s">
        <v>19</v>
      </c>
      <c r="C974" t="s">
        <v>29</v>
      </c>
      <c r="D974" t="str">
        <f>IFERROR(INDEX(Sheet2!$B$2:$B$1132,MATCH(Sheet1!C974,Sheet1!$C$2:$C$1132,0)),"IDK")</f>
        <v>IT</v>
      </c>
      <c r="E974" t="s">
        <v>51</v>
      </c>
      <c r="F974" t="s">
        <v>54</v>
      </c>
      <c r="G974" s="1">
        <v>45510</v>
      </c>
      <c r="H974" t="s">
        <v>58</v>
      </c>
      <c r="I974" s="2" t="s">
        <v>131</v>
      </c>
      <c r="J974" s="2" t="s">
        <v>132</v>
      </c>
      <c r="K974">
        <f>IFERROR(INDEX(Sheet2!$C$2:$C$1132,MATCH(Sheet1!C974,Sheet1!$C$2:$C$1132,0)),"")</f>
        <v>35000</v>
      </c>
      <c r="L974">
        <f>IFERROR(INDEX(Sheet2!$D$2:$D$1132,MATCH(Sheet1!C974,$C$2:$C$1132,0)),"")</f>
        <v>70000</v>
      </c>
      <c r="M974" t="str">
        <f>IFERROR(INDEX($M$2:$M$1132,MATCH(B974,$B$2:$B$1132,0)),"")</f>
        <v>NETWORK SECURITY, ETHICAL HACKING, RISK ASSESSMENT</v>
      </c>
      <c r="N974" t="s">
        <v>76</v>
      </c>
      <c r="O974" t="s">
        <v>80</v>
      </c>
    </row>
    <row r="975" spans="1:15" x14ac:dyDescent="0.25">
      <c r="A975">
        <v>18823</v>
      </c>
      <c r="B975" t="s">
        <v>19</v>
      </c>
      <c r="C975" t="s">
        <v>37</v>
      </c>
      <c r="D975" t="s">
        <v>43</v>
      </c>
      <c r="E975" t="s">
        <v>51</v>
      </c>
      <c r="F975" t="s">
        <v>54</v>
      </c>
      <c r="G975" s="1">
        <v>45485</v>
      </c>
      <c r="H975" t="s">
        <v>58</v>
      </c>
      <c r="I975" s="2" t="s">
        <v>131</v>
      </c>
      <c r="J975" s="2" t="s">
        <v>132</v>
      </c>
      <c r="K975">
        <v>45000</v>
      </c>
      <c r="L975">
        <v>90000</v>
      </c>
      <c r="M975" t="str">
        <f>IFERROR(INDEX($M$2:$M$1132,MATCH(B975,$B$2:$B$1132,0)),"")</f>
        <v>NETWORK SECURITY, ETHICAL HACKING, RISK ASSESSMENT</v>
      </c>
      <c r="N975" t="s">
        <v>74</v>
      </c>
      <c r="O975" t="s">
        <v>80</v>
      </c>
    </row>
    <row r="976" spans="1:15" x14ac:dyDescent="0.25">
      <c r="A976">
        <v>18824</v>
      </c>
      <c r="B976" t="s">
        <v>19</v>
      </c>
      <c r="C976" t="s">
        <v>38</v>
      </c>
      <c r="D976" t="s">
        <v>42</v>
      </c>
      <c r="E976" t="s">
        <v>51</v>
      </c>
      <c r="F976" t="s">
        <v>54</v>
      </c>
      <c r="G976" s="1">
        <v>45576</v>
      </c>
      <c r="H976" t="s">
        <v>58</v>
      </c>
      <c r="I976" s="2" t="s">
        <v>129</v>
      </c>
      <c r="J976" s="2" t="s">
        <v>130</v>
      </c>
      <c r="K976">
        <v>20000</v>
      </c>
      <c r="L976">
        <v>80000</v>
      </c>
      <c r="M976" t="str">
        <f>IFERROR(INDEX($M$2:$M$1132,MATCH(B976,$B$2:$B$1132,0)),"")</f>
        <v>NETWORK SECURITY, ETHICAL HACKING, RISK ASSESSMENT</v>
      </c>
      <c r="N976" t="s">
        <v>74</v>
      </c>
      <c r="O976" t="s">
        <v>80</v>
      </c>
    </row>
    <row r="977" spans="1:15" x14ac:dyDescent="0.25">
      <c r="A977">
        <v>18825</v>
      </c>
      <c r="B977" t="s">
        <v>19</v>
      </c>
      <c r="C977" t="s">
        <v>31</v>
      </c>
      <c r="D977" t="str">
        <f>IFERROR(INDEX(Sheet2!$B$2:$B$1132,MATCH(Sheet1!C977,Sheet1!$C$2:$C$1132,0)),"IDK")</f>
        <v>IT</v>
      </c>
      <c r="E977" t="s">
        <v>51</v>
      </c>
      <c r="F977" t="s">
        <v>54</v>
      </c>
      <c r="G977" s="1">
        <v>45639</v>
      </c>
      <c r="H977" t="s">
        <v>58</v>
      </c>
      <c r="I977" s="2" t="s">
        <v>129</v>
      </c>
      <c r="J977" s="2" t="s">
        <v>130</v>
      </c>
      <c r="K977">
        <f>IFERROR(INDEX(Sheet2!$C$2:$C$1132,MATCH(Sheet1!C977,Sheet1!$C$2:$C$1132,0)),"")</f>
        <v>25000</v>
      </c>
      <c r="L977">
        <f>IFERROR(INDEX(Sheet2!$D$2:$D$1132,MATCH(Sheet1!C977,$C$2:$C$1132,0)),"")</f>
        <v>75000</v>
      </c>
      <c r="M977" t="str">
        <f>IFERROR(INDEX($M$2:$M$1132,MATCH(B977,$B$2:$B$1132,0)),"")</f>
        <v>NETWORK SECURITY, ETHICAL HACKING, RISK ASSESSMENT</v>
      </c>
      <c r="N977" t="s">
        <v>74</v>
      </c>
      <c r="O977" t="s">
        <v>80</v>
      </c>
    </row>
    <row r="978" spans="1:15" x14ac:dyDescent="0.25">
      <c r="A978">
        <v>18826</v>
      </c>
      <c r="B978" t="s">
        <v>19</v>
      </c>
      <c r="C978" t="s">
        <v>35</v>
      </c>
      <c r="D978" t="str">
        <f>IFERROR(INDEX(Sheet2!$B$2:$B$1132,MATCH(Sheet1!C978,Sheet1!$C$2:$C$1132,0)),"IDK")</f>
        <v>SOCIAL</v>
      </c>
      <c r="E978" t="s">
        <v>51</v>
      </c>
      <c r="F978" t="s">
        <v>54</v>
      </c>
      <c r="G978" s="1">
        <v>45470</v>
      </c>
      <c r="H978" t="s">
        <v>58</v>
      </c>
      <c r="I978" s="2" t="s">
        <v>146</v>
      </c>
      <c r="J978" s="2" t="s">
        <v>147</v>
      </c>
      <c r="K978">
        <f>IFERROR(INDEX(Sheet2!$C$2:$C$1132,MATCH(Sheet1!C978,Sheet1!$C$2:$C$1132,0)),"")</f>
        <v>30000</v>
      </c>
      <c r="L978">
        <f>IFERROR(INDEX(Sheet2!$D$2:$D$1132,MATCH(Sheet1!C978,$C$2:$C$1132,0)),"")</f>
        <v>95000</v>
      </c>
      <c r="M978" t="str">
        <f>IFERROR(INDEX($M$2:$M$1132,MATCH(B978,$B$2:$B$1132,0)),"")</f>
        <v>NETWORK SECURITY, ETHICAL HACKING, RISK ASSESSMENT</v>
      </c>
      <c r="N978" t="s">
        <v>75</v>
      </c>
      <c r="O978" t="s">
        <v>80</v>
      </c>
    </row>
    <row r="979" spans="1:15" x14ac:dyDescent="0.25">
      <c r="A979">
        <v>18827</v>
      </c>
      <c r="B979" t="s">
        <v>19</v>
      </c>
      <c r="C979" t="s">
        <v>36</v>
      </c>
      <c r="D979" t="str">
        <f>IFERROR(INDEX(Sheet2!$B$2:$B$1132,MATCH(Sheet1!C979,Sheet1!$C$2:$C$1132,0)),"IDK")</f>
        <v>IT</v>
      </c>
      <c r="E979" t="s">
        <v>51</v>
      </c>
      <c r="F979" t="s">
        <v>54</v>
      </c>
      <c r="G979" s="1">
        <v>45369</v>
      </c>
      <c r="H979" t="s">
        <v>58</v>
      </c>
      <c r="I979" s="2" t="s">
        <v>129</v>
      </c>
      <c r="J979" s="2" t="s">
        <v>130</v>
      </c>
      <c r="K979">
        <f>IFERROR(INDEX(Sheet2!$C$2:$C$1132,MATCH(Sheet1!C979,Sheet1!$C$2:$C$1132,0)),"")</f>
        <v>50000</v>
      </c>
      <c r="L979">
        <f>IFERROR(INDEX(Sheet2!$D$2:$D$1132,MATCH(Sheet1!C979,$C$2:$C$1132,0)),"")</f>
        <v>100000</v>
      </c>
      <c r="M979" t="str">
        <f>IFERROR(INDEX($M$2:$M$1132,MATCH(B979,$B$2:$B$1132,0)),"")</f>
        <v>NETWORK SECURITY, ETHICAL HACKING, RISK ASSESSMENT</v>
      </c>
      <c r="N979" t="s">
        <v>75</v>
      </c>
      <c r="O979" t="s">
        <v>80</v>
      </c>
    </row>
    <row r="980" spans="1:15" x14ac:dyDescent="0.25">
      <c r="A980">
        <v>18828</v>
      </c>
      <c r="B980" t="s">
        <v>19</v>
      </c>
      <c r="C980" t="s">
        <v>27</v>
      </c>
      <c r="D980" t="str">
        <f>IFERROR(INDEX(Sheet2!$B$2:$B$1132,MATCH(Sheet1!C980,Sheet1!$C$2:$C$1132,0)),"IDK")</f>
        <v>IT</v>
      </c>
      <c r="E980" t="s">
        <v>51</v>
      </c>
      <c r="F980" t="s">
        <v>54</v>
      </c>
      <c r="G980" s="1">
        <v>45353</v>
      </c>
      <c r="H980" t="s">
        <v>58</v>
      </c>
      <c r="I980" s="2" t="s">
        <v>146</v>
      </c>
      <c r="J980" s="2" t="s">
        <v>147</v>
      </c>
      <c r="K980">
        <f>IFERROR(INDEX(Sheet2!$C$2:$C$1132,MATCH(Sheet1!C980,Sheet1!$C$2:$C$1132,0)),"")</f>
        <v>40000</v>
      </c>
      <c r="L980">
        <f>IFERROR(INDEX(Sheet2!$D$2:$D$1132,MATCH(Sheet1!C980,$C$2:$C$1132,0)),"")</f>
        <v>80000</v>
      </c>
      <c r="M980" t="str">
        <f>IFERROR(INDEX($M$2:$M$1132,MATCH(B980,$B$2:$B$1132,0)),"")</f>
        <v>NETWORK SECURITY, ETHICAL HACKING, RISK ASSESSMENT</v>
      </c>
      <c r="N980" t="s">
        <v>75</v>
      </c>
      <c r="O980" t="s">
        <v>80</v>
      </c>
    </row>
    <row r="981" spans="1:15" x14ac:dyDescent="0.25">
      <c r="A981">
        <v>18829</v>
      </c>
      <c r="B981" t="s">
        <v>19</v>
      </c>
      <c r="C981" t="s">
        <v>28</v>
      </c>
      <c r="D981" t="str">
        <f>IFERROR(INDEX(Sheet2!$B$2:$B$1132,MATCH(Sheet1!C981,Sheet1!$C$2:$C$1132,0)),"IDK")</f>
        <v>IT</v>
      </c>
      <c r="E981" t="s">
        <v>51</v>
      </c>
      <c r="F981" t="s">
        <v>54</v>
      </c>
      <c r="G981" s="1">
        <v>45329</v>
      </c>
      <c r="H981" t="s">
        <v>58</v>
      </c>
      <c r="I981" s="2" t="s">
        <v>131</v>
      </c>
      <c r="J981" s="2" t="s">
        <v>132</v>
      </c>
      <c r="K981">
        <f>IFERROR(INDEX(Sheet2!$C$2:$C$1132,MATCH(Sheet1!C981,Sheet1!$C$2:$C$1132,0)),"")</f>
        <v>30000</v>
      </c>
      <c r="L981">
        <f>IFERROR(INDEX(Sheet2!$D$2:$D$1132,MATCH(Sheet1!C981,$C$2:$C$1132,0)),"")</f>
        <v>55000</v>
      </c>
      <c r="M981" t="str">
        <f>IFERROR(INDEX($M$2:$M$1132,MATCH(B981,$B$2:$B$1132,0)),"")</f>
        <v>NETWORK SECURITY, ETHICAL HACKING, RISK ASSESSMENT</v>
      </c>
      <c r="N981" t="s">
        <v>76</v>
      </c>
      <c r="O981" t="s">
        <v>80</v>
      </c>
    </row>
    <row r="982" spans="1:15" x14ac:dyDescent="0.25">
      <c r="A982">
        <v>18830</v>
      </c>
      <c r="B982" t="s">
        <v>19</v>
      </c>
      <c r="C982" t="s">
        <v>29</v>
      </c>
      <c r="D982" t="str">
        <f>IFERROR(INDEX(Sheet2!$B$2:$B$1132,MATCH(Sheet1!C982,Sheet1!$C$2:$C$1132,0)),"IDK")</f>
        <v>IT</v>
      </c>
      <c r="E982" t="s">
        <v>51</v>
      </c>
      <c r="F982" t="s">
        <v>54</v>
      </c>
      <c r="G982" s="1">
        <v>45294</v>
      </c>
      <c r="H982" t="s">
        <v>58</v>
      </c>
      <c r="I982" s="2" t="s">
        <v>136</v>
      </c>
      <c r="J982" s="2" t="s">
        <v>137</v>
      </c>
      <c r="K982">
        <f>IFERROR(INDEX(Sheet2!$C$2:$C$1132,MATCH(Sheet1!C982,Sheet1!$C$2:$C$1132,0)),"")</f>
        <v>35000</v>
      </c>
      <c r="L982">
        <f>IFERROR(INDEX(Sheet2!$D$2:$D$1132,MATCH(Sheet1!C982,$C$2:$C$1132,0)),"")</f>
        <v>70000</v>
      </c>
      <c r="M982" t="str">
        <f>IFERROR(INDEX($M$2:$M$1132,MATCH(B982,$B$2:$B$1132,0)),"")</f>
        <v>NETWORK SECURITY, ETHICAL HACKING, RISK ASSESSMENT</v>
      </c>
      <c r="N982" t="s">
        <v>76</v>
      </c>
      <c r="O982" t="s">
        <v>80</v>
      </c>
    </row>
    <row r="983" spans="1:15" x14ac:dyDescent="0.25">
      <c r="A983">
        <v>18831</v>
      </c>
      <c r="B983" t="s">
        <v>19</v>
      </c>
      <c r="C983" t="s">
        <v>37</v>
      </c>
      <c r="D983" t="s">
        <v>43</v>
      </c>
      <c r="E983" t="s">
        <v>51</v>
      </c>
      <c r="F983" t="s">
        <v>54</v>
      </c>
      <c r="G983" s="1">
        <v>45498</v>
      </c>
      <c r="H983" t="s">
        <v>58</v>
      </c>
      <c r="I983" s="2" t="s">
        <v>140</v>
      </c>
      <c r="J983" s="2" t="s">
        <v>141</v>
      </c>
      <c r="K983">
        <v>45000</v>
      </c>
      <c r="L983">
        <v>90000</v>
      </c>
      <c r="M983" t="str">
        <f>IFERROR(INDEX($M$2:$M$1132,MATCH(B983,$B$2:$B$1132,0)),"")</f>
        <v>NETWORK SECURITY, ETHICAL HACKING, RISK ASSESSMENT</v>
      </c>
      <c r="N983" t="s">
        <v>76</v>
      </c>
      <c r="O983" t="s">
        <v>80</v>
      </c>
    </row>
    <row r="984" spans="1:15" x14ac:dyDescent="0.25">
      <c r="A984">
        <v>18832</v>
      </c>
      <c r="B984" t="s">
        <v>19</v>
      </c>
      <c r="C984" t="s">
        <v>38</v>
      </c>
      <c r="D984" t="s">
        <v>42</v>
      </c>
      <c r="E984" t="s">
        <v>51</v>
      </c>
      <c r="F984" t="s">
        <v>54</v>
      </c>
      <c r="G984" s="1">
        <v>45383</v>
      </c>
      <c r="H984" t="s">
        <v>58</v>
      </c>
      <c r="I984" s="2" t="s">
        <v>133</v>
      </c>
      <c r="J984" s="2" t="s">
        <v>134</v>
      </c>
      <c r="K984">
        <v>20000</v>
      </c>
      <c r="L984">
        <v>80000</v>
      </c>
      <c r="M984" t="str">
        <f>IFERROR(INDEX($M$2:$M$1132,MATCH(B984,$B$2:$B$1132,0)),"")</f>
        <v>NETWORK SECURITY, ETHICAL HACKING, RISK ASSESSMENT</v>
      </c>
      <c r="N984" t="s">
        <v>74</v>
      </c>
      <c r="O984" t="s">
        <v>80</v>
      </c>
    </row>
    <row r="985" spans="1:15" x14ac:dyDescent="0.25">
      <c r="A985">
        <v>18833</v>
      </c>
      <c r="B985" t="s">
        <v>19</v>
      </c>
      <c r="C985" t="s">
        <v>31</v>
      </c>
      <c r="D985" t="str">
        <f>IFERROR(INDEX(Sheet2!$B$2:$B$1132,MATCH(Sheet1!C985,Sheet1!$C$2:$C$1132,0)),"IDK")</f>
        <v>IT</v>
      </c>
      <c r="E985" t="s">
        <v>51</v>
      </c>
      <c r="F985" t="s">
        <v>54</v>
      </c>
      <c r="G985" s="1">
        <v>45475</v>
      </c>
      <c r="H985" t="s">
        <v>58</v>
      </c>
      <c r="I985" s="2" t="s">
        <v>138</v>
      </c>
      <c r="J985" s="2" t="s">
        <v>139</v>
      </c>
      <c r="K985">
        <f>IFERROR(INDEX(Sheet2!$C$2:$C$1132,MATCH(Sheet1!C985,Sheet1!$C$2:$C$1132,0)),"")</f>
        <v>25000</v>
      </c>
      <c r="L985">
        <f>IFERROR(INDEX(Sheet2!$D$2:$D$1132,MATCH(Sheet1!C985,$C$2:$C$1132,0)),"")</f>
        <v>75000</v>
      </c>
      <c r="M985" t="str">
        <f>IFERROR(INDEX($M$2:$M$1132,MATCH(B985,$B$2:$B$1132,0)),"")</f>
        <v>NETWORK SECURITY, ETHICAL HACKING, RISK ASSESSMENT</v>
      </c>
      <c r="N985" t="s">
        <v>74</v>
      </c>
      <c r="O985" t="s">
        <v>80</v>
      </c>
    </row>
    <row r="986" spans="1:15" x14ac:dyDescent="0.25">
      <c r="A986">
        <v>18834</v>
      </c>
      <c r="B986" t="s">
        <v>19</v>
      </c>
      <c r="C986" t="s">
        <v>35</v>
      </c>
      <c r="D986" t="str">
        <f>IFERROR(INDEX(Sheet2!$B$2:$B$1132,MATCH(Sheet1!C986,Sheet1!$C$2:$C$1132,0)),"IDK")</f>
        <v>SOCIAL</v>
      </c>
      <c r="E986" t="s">
        <v>51</v>
      </c>
      <c r="F986" t="s">
        <v>54</v>
      </c>
      <c r="G986" s="1">
        <v>45497</v>
      </c>
      <c r="H986" t="s">
        <v>58</v>
      </c>
      <c r="I986" s="2" t="s">
        <v>142</v>
      </c>
      <c r="J986" s="2" t="s">
        <v>143</v>
      </c>
      <c r="K986">
        <f>IFERROR(INDEX(Sheet2!$C$2:$C$1132,MATCH(Sheet1!C986,Sheet1!$C$2:$C$1132,0)),"")</f>
        <v>30000</v>
      </c>
      <c r="L986">
        <f>IFERROR(INDEX(Sheet2!$D$2:$D$1132,MATCH(Sheet1!C986,$C$2:$C$1132,0)),"")</f>
        <v>95000</v>
      </c>
      <c r="M986" t="str">
        <f>IFERROR(INDEX($M$2:$M$1132,MATCH(B986,$B$2:$B$1132,0)),"")</f>
        <v>NETWORK SECURITY, ETHICAL HACKING, RISK ASSESSMENT</v>
      </c>
      <c r="N986" t="s">
        <v>74</v>
      </c>
      <c r="O986" t="s">
        <v>80</v>
      </c>
    </row>
    <row r="987" spans="1:15" x14ac:dyDescent="0.25">
      <c r="A987">
        <v>18835</v>
      </c>
      <c r="B987" t="s">
        <v>19</v>
      </c>
      <c r="C987" t="s">
        <v>36</v>
      </c>
      <c r="D987" t="str">
        <f>IFERROR(INDEX(Sheet2!$B$2:$B$1132,MATCH(Sheet1!C987,Sheet1!$C$2:$C$1132,0)),"IDK")</f>
        <v>IT</v>
      </c>
      <c r="E987" t="s">
        <v>51</v>
      </c>
      <c r="F987" t="s">
        <v>54</v>
      </c>
      <c r="G987" s="1">
        <v>45388</v>
      </c>
      <c r="H987" t="s">
        <v>58</v>
      </c>
      <c r="I987" s="2" t="s">
        <v>129</v>
      </c>
      <c r="J987" s="2" t="s">
        <v>130</v>
      </c>
      <c r="K987">
        <f>IFERROR(INDEX(Sheet2!$C$2:$C$1132,MATCH(Sheet1!C987,Sheet1!$C$2:$C$1132,0)),"")</f>
        <v>50000</v>
      </c>
      <c r="L987">
        <f>IFERROR(INDEX(Sheet2!$D$2:$D$1132,MATCH(Sheet1!C987,$C$2:$C$1132,0)),"")</f>
        <v>100000</v>
      </c>
      <c r="M987" t="str">
        <f>IFERROR(INDEX($M$2:$M$1132,MATCH(B987,$B$2:$B$1132,0)),"")</f>
        <v>NETWORK SECURITY, ETHICAL HACKING, RISK ASSESSMENT</v>
      </c>
      <c r="N987" t="s">
        <v>75</v>
      </c>
      <c r="O987" t="s">
        <v>80</v>
      </c>
    </row>
    <row r="988" spans="1:15" x14ac:dyDescent="0.25">
      <c r="A988">
        <v>18836</v>
      </c>
      <c r="B988" t="s">
        <v>19</v>
      </c>
      <c r="C988" t="s">
        <v>27</v>
      </c>
      <c r="D988" t="str">
        <f>IFERROR(INDEX(Sheet2!$B$2:$B$1132,MATCH(Sheet1!C988,Sheet1!$C$2:$C$1132,0)),"IDK")</f>
        <v>IT</v>
      </c>
      <c r="E988" t="s">
        <v>51</v>
      </c>
      <c r="F988" t="s">
        <v>54</v>
      </c>
      <c r="G988" s="1">
        <v>45574</v>
      </c>
      <c r="H988" t="s">
        <v>58</v>
      </c>
      <c r="I988" s="2" t="s">
        <v>146</v>
      </c>
      <c r="J988" s="2" t="s">
        <v>147</v>
      </c>
      <c r="K988">
        <f>IFERROR(INDEX(Sheet2!$C$2:$C$1132,MATCH(Sheet1!C988,Sheet1!$C$2:$C$1132,0)),"")</f>
        <v>40000</v>
      </c>
      <c r="L988">
        <f>IFERROR(INDEX(Sheet2!$D$2:$D$1132,MATCH(Sheet1!C988,$C$2:$C$1132,0)),"")</f>
        <v>80000</v>
      </c>
      <c r="M988" t="str">
        <f>IFERROR(INDEX($M$2:$M$1132,MATCH(B988,$B$2:$B$1132,0)),"")</f>
        <v>NETWORK SECURITY, ETHICAL HACKING, RISK ASSESSMENT</v>
      </c>
      <c r="N988" t="s">
        <v>75</v>
      </c>
      <c r="O988" t="s">
        <v>80</v>
      </c>
    </row>
    <row r="989" spans="1:15" x14ac:dyDescent="0.25">
      <c r="A989">
        <v>18837</v>
      </c>
      <c r="B989" t="s">
        <v>19</v>
      </c>
      <c r="C989" t="s">
        <v>28</v>
      </c>
      <c r="D989" t="str">
        <f>IFERROR(INDEX(Sheet2!$B$2:$B$1132,MATCH(Sheet1!C989,Sheet1!$C$2:$C$1132,0)),"IDK")</f>
        <v>IT</v>
      </c>
      <c r="E989" t="s">
        <v>51</v>
      </c>
      <c r="F989" t="s">
        <v>54</v>
      </c>
      <c r="G989" s="1">
        <v>45359</v>
      </c>
      <c r="H989" t="s">
        <v>58</v>
      </c>
      <c r="I989" s="2" t="s">
        <v>136</v>
      </c>
      <c r="J989" s="2" t="s">
        <v>137</v>
      </c>
      <c r="K989">
        <f>IFERROR(INDEX(Sheet2!$C$2:$C$1132,MATCH(Sheet1!C989,Sheet1!$C$2:$C$1132,0)),"")</f>
        <v>30000</v>
      </c>
      <c r="L989">
        <f>IFERROR(INDEX(Sheet2!$D$2:$D$1132,MATCH(Sheet1!C989,$C$2:$C$1132,0)),"")</f>
        <v>55000</v>
      </c>
      <c r="M989" t="str">
        <f>IFERROR(INDEX($M$2:$M$1132,MATCH(B989,$B$2:$B$1132,0)),"")</f>
        <v>NETWORK SECURITY, ETHICAL HACKING, RISK ASSESSMENT</v>
      </c>
      <c r="N989" t="s">
        <v>75</v>
      </c>
      <c r="O989" t="s">
        <v>80</v>
      </c>
    </row>
    <row r="990" spans="1:15" x14ac:dyDescent="0.25">
      <c r="A990">
        <v>18838</v>
      </c>
      <c r="B990" t="s">
        <v>19</v>
      </c>
      <c r="C990" t="s">
        <v>29</v>
      </c>
      <c r="D990" t="str">
        <f>IFERROR(INDEX(Sheet2!$B$2:$B$1132,MATCH(Sheet1!C990,Sheet1!$C$2:$C$1132,0)),"IDK")</f>
        <v>IT</v>
      </c>
      <c r="E990" t="s">
        <v>51</v>
      </c>
      <c r="F990" t="s">
        <v>54</v>
      </c>
      <c r="G990" s="1">
        <v>45468</v>
      </c>
      <c r="H990" t="s">
        <v>58</v>
      </c>
      <c r="I990" s="2" t="s">
        <v>131</v>
      </c>
      <c r="J990" s="2" t="s">
        <v>132</v>
      </c>
      <c r="K990">
        <f>IFERROR(INDEX(Sheet2!$C$2:$C$1132,MATCH(Sheet1!C990,Sheet1!$C$2:$C$1132,0)),"")</f>
        <v>35000</v>
      </c>
      <c r="L990">
        <f>IFERROR(INDEX(Sheet2!$D$2:$D$1132,MATCH(Sheet1!C990,$C$2:$C$1132,0)),"")</f>
        <v>70000</v>
      </c>
      <c r="M990" t="str">
        <f>IFERROR(INDEX($M$2:$M$1132,MATCH(B990,$B$2:$B$1132,0)),"")</f>
        <v>NETWORK SECURITY, ETHICAL HACKING, RISK ASSESSMENT</v>
      </c>
      <c r="N990" t="s">
        <v>76</v>
      </c>
      <c r="O990" t="s">
        <v>80</v>
      </c>
    </row>
    <row r="991" spans="1:15" x14ac:dyDescent="0.25">
      <c r="A991">
        <v>18839</v>
      </c>
      <c r="B991" t="s">
        <v>19</v>
      </c>
      <c r="C991" t="s">
        <v>37</v>
      </c>
      <c r="D991" t="s">
        <v>43</v>
      </c>
      <c r="E991" t="s">
        <v>51</v>
      </c>
      <c r="F991" t="s">
        <v>54</v>
      </c>
      <c r="G991" s="1">
        <v>45437</v>
      </c>
      <c r="H991" t="s">
        <v>58</v>
      </c>
      <c r="I991" s="2" t="s">
        <v>131</v>
      </c>
      <c r="J991" s="2" t="s">
        <v>132</v>
      </c>
      <c r="K991">
        <v>45000</v>
      </c>
      <c r="L991">
        <v>90000</v>
      </c>
      <c r="M991" t="str">
        <f>IFERROR(INDEX($M$2:$M$1132,MATCH(B991,$B$2:$B$1132,0)),"")</f>
        <v>NETWORK SECURITY, ETHICAL HACKING, RISK ASSESSMENT</v>
      </c>
      <c r="N991" t="s">
        <v>76</v>
      </c>
      <c r="O991" t="s">
        <v>79</v>
      </c>
    </row>
    <row r="992" spans="1:15" x14ac:dyDescent="0.25">
      <c r="A992">
        <v>18840</v>
      </c>
      <c r="B992" t="s">
        <v>19</v>
      </c>
      <c r="C992" t="s">
        <v>38</v>
      </c>
      <c r="D992" t="s">
        <v>42</v>
      </c>
      <c r="E992" t="s">
        <v>51</v>
      </c>
      <c r="F992" t="s">
        <v>54</v>
      </c>
      <c r="G992" s="1">
        <v>45502</v>
      </c>
      <c r="H992" t="s">
        <v>58</v>
      </c>
      <c r="I992" s="2" t="s">
        <v>131</v>
      </c>
      <c r="J992" s="2" t="s">
        <v>132</v>
      </c>
      <c r="K992">
        <v>20000</v>
      </c>
      <c r="L992">
        <v>80000</v>
      </c>
      <c r="M992" t="str">
        <f>IFERROR(INDEX($M$2:$M$1132,MATCH(B992,$B$2:$B$1132,0)),"")</f>
        <v>NETWORK SECURITY, ETHICAL HACKING, RISK ASSESSMENT</v>
      </c>
      <c r="N992" t="s">
        <v>76</v>
      </c>
      <c r="O992" t="s">
        <v>79</v>
      </c>
    </row>
    <row r="993" spans="1:15" x14ac:dyDescent="0.25">
      <c r="A993">
        <v>18841</v>
      </c>
      <c r="B993" t="s">
        <v>19</v>
      </c>
      <c r="C993" t="s">
        <v>31</v>
      </c>
      <c r="D993" t="str">
        <f>IFERROR(INDEX(Sheet2!$B$2:$B$1132,MATCH(Sheet1!C993,Sheet1!$C$2:$C$1132,0)),"IDK")</f>
        <v>IT</v>
      </c>
      <c r="E993" t="s">
        <v>51</v>
      </c>
      <c r="F993" t="s">
        <v>54</v>
      </c>
      <c r="G993" s="1">
        <v>45405</v>
      </c>
      <c r="H993" t="s">
        <v>58</v>
      </c>
      <c r="I993" s="2" t="s">
        <v>136</v>
      </c>
      <c r="J993" s="2" t="s">
        <v>137</v>
      </c>
      <c r="K993">
        <f>IFERROR(INDEX(Sheet2!$C$2:$C$1132,MATCH(Sheet1!C993,Sheet1!$C$2:$C$1132,0)),"")</f>
        <v>25000</v>
      </c>
      <c r="L993">
        <f>IFERROR(INDEX(Sheet2!$D$2:$D$1132,MATCH(Sheet1!C993,$C$2:$C$1132,0)),"")</f>
        <v>75000</v>
      </c>
      <c r="M993" t="str">
        <f>IFERROR(INDEX($M$2:$M$1132,MATCH(B993,$B$2:$B$1132,0)),"")</f>
        <v>NETWORK SECURITY, ETHICAL HACKING, RISK ASSESSMENT</v>
      </c>
      <c r="N993" t="s">
        <v>74</v>
      </c>
      <c r="O993" t="s">
        <v>79</v>
      </c>
    </row>
    <row r="994" spans="1:15" x14ac:dyDescent="0.25">
      <c r="A994">
        <v>18842</v>
      </c>
      <c r="B994" t="s">
        <v>19</v>
      </c>
      <c r="C994" t="s">
        <v>35</v>
      </c>
      <c r="D994" t="str">
        <f>IFERROR(INDEX(Sheet2!$B$2:$B$1132,MATCH(Sheet1!C994,Sheet1!$C$2:$C$1132,0)),"IDK")</f>
        <v>SOCIAL</v>
      </c>
      <c r="E994" t="s">
        <v>51</v>
      </c>
      <c r="F994" t="s">
        <v>54</v>
      </c>
      <c r="G994" s="1">
        <v>45447</v>
      </c>
      <c r="H994" t="s">
        <v>58</v>
      </c>
      <c r="I994" s="2" t="s">
        <v>136</v>
      </c>
      <c r="J994" s="2" t="s">
        <v>137</v>
      </c>
      <c r="K994">
        <f>IFERROR(INDEX(Sheet2!$C$2:$C$1132,MATCH(Sheet1!C994,Sheet1!$C$2:$C$1132,0)),"")</f>
        <v>30000</v>
      </c>
      <c r="L994">
        <f>IFERROR(INDEX(Sheet2!$D$2:$D$1132,MATCH(Sheet1!C994,$C$2:$C$1132,0)),"")</f>
        <v>95000</v>
      </c>
      <c r="M994" t="str">
        <f>IFERROR(INDEX($M$2:$M$1132,MATCH(B994,$B$2:$B$1132,0)),"")</f>
        <v>NETWORK SECURITY, ETHICAL HACKING, RISK ASSESSMENT</v>
      </c>
      <c r="N994" t="s">
        <v>74</v>
      </c>
      <c r="O994" t="s">
        <v>79</v>
      </c>
    </row>
    <row r="995" spans="1:15" x14ac:dyDescent="0.25">
      <c r="A995">
        <v>18843</v>
      </c>
      <c r="B995" t="s">
        <v>19</v>
      </c>
      <c r="C995" t="s">
        <v>36</v>
      </c>
      <c r="D995" t="str">
        <f>IFERROR(INDEX(Sheet2!$B$2:$B$1132,MATCH(Sheet1!C995,Sheet1!$C$2:$C$1132,0)),"IDK")</f>
        <v>IT</v>
      </c>
      <c r="E995" t="s">
        <v>51</v>
      </c>
      <c r="F995" t="s">
        <v>54</v>
      </c>
      <c r="G995" s="1">
        <v>45299</v>
      </c>
      <c r="H995" t="s">
        <v>58</v>
      </c>
      <c r="I995" s="2" t="s">
        <v>136</v>
      </c>
      <c r="J995" s="2" t="s">
        <v>137</v>
      </c>
      <c r="K995">
        <f>IFERROR(INDEX(Sheet2!$C$2:$C$1132,MATCH(Sheet1!C995,Sheet1!$C$2:$C$1132,0)),"")</f>
        <v>50000</v>
      </c>
      <c r="L995">
        <f>IFERROR(INDEX(Sheet2!$D$2:$D$1132,MATCH(Sheet1!C995,$C$2:$C$1132,0)),"")</f>
        <v>100000</v>
      </c>
      <c r="M995" t="str">
        <f>IFERROR(INDEX($M$2:$M$1132,MATCH(B995,$B$2:$B$1132,0)),"")</f>
        <v>NETWORK SECURITY, ETHICAL HACKING, RISK ASSESSMENT</v>
      </c>
      <c r="N995" t="s">
        <v>74</v>
      </c>
      <c r="O995" t="s">
        <v>79</v>
      </c>
    </row>
    <row r="996" spans="1:15" x14ac:dyDescent="0.25">
      <c r="A996">
        <v>18844</v>
      </c>
      <c r="B996" t="s">
        <v>19</v>
      </c>
      <c r="C996" t="s">
        <v>27</v>
      </c>
      <c r="D996" t="str">
        <f>IFERROR(INDEX(Sheet2!$B$2:$B$1132,MATCH(Sheet1!C996,Sheet1!$C$2:$C$1132,0)),"IDK")</f>
        <v>IT</v>
      </c>
      <c r="E996" t="s">
        <v>51</v>
      </c>
      <c r="F996" t="s">
        <v>54</v>
      </c>
      <c r="G996" s="1">
        <v>45324</v>
      </c>
      <c r="H996" t="s">
        <v>58</v>
      </c>
      <c r="I996" s="2" t="s">
        <v>136</v>
      </c>
      <c r="J996" s="2" t="s">
        <v>137</v>
      </c>
      <c r="K996">
        <f>IFERROR(INDEX(Sheet2!$C$2:$C$1132,MATCH(Sheet1!C996,Sheet1!$C$2:$C$1132,0)),"")</f>
        <v>40000</v>
      </c>
      <c r="L996">
        <f>IFERROR(INDEX(Sheet2!$D$2:$D$1132,MATCH(Sheet1!C996,$C$2:$C$1132,0)),"")</f>
        <v>80000</v>
      </c>
      <c r="M996" t="str">
        <f>IFERROR(INDEX($M$2:$M$1132,MATCH(B996,$B$2:$B$1132,0)),"")</f>
        <v>NETWORK SECURITY, ETHICAL HACKING, RISK ASSESSMENT</v>
      </c>
      <c r="N996" t="s">
        <v>75</v>
      </c>
      <c r="O996" t="s">
        <v>79</v>
      </c>
    </row>
    <row r="997" spans="1:15" x14ac:dyDescent="0.25">
      <c r="A997">
        <v>18845</v>
      </c>
      <c r="B997" t="s">
        <v>19</v>
      </c>
      <c r="C997" t="s">
        <v>28</v>
      </c>
      <c r="D997" t="str">
        <f>IFERROR(INDEX(Sheet2!$B$2:$B$1132,MATCH(Sheet1!C997,Sheet1!$C$2:$C$1132,0)),"IDK")</f>
        <v>IT</v>
      </c>
      <c r="E997" t="s">
        <v>51</v>
      </c>
      <c r="F997" t="s">
        <v>54</v>
      </c>
      <c r="G997" s="1">
        <v>45468</v>
      </c>
      <c r="H997" t="s">
        <v>58</v>
      </c>
      <c r="I997" s="2" t="s">
        <v>146</v>
      </c>
      <c r="J997" s="2" t="s">
        <v>147</v>
      </c>
      <c r="K997">
        <f>IFERROR(INDEX(Sheet2!$C$2:$C$1132,MATCH(Sheet1!C997,Sheet1!$C$2:$C$1132,0)),"")</f>
        <v>30000</v>
      </c>
      <c r="L997">
        <f>IFERROR(INDEX(Sheet2!$D$2:$D$1132,MATCH(Sheet1!C997,$C$2:$C$1132,0)),"")</f>
        <v>55000</v>
      </c>
      <c r="M997" t="str">
        <f>IFERROR(INDEX($M$2:$M$1132,MATCH(B997,$B$2:$B$1132,0)),"")</f>
        <v>NETWORK SECURITY, ETHICAL HACKING, RISK ASSESSMENT</v>
      </c>
      <c r="N997" t="s">
        <v>75</v>
      </c>
      <c r="O997" t="s">
        <v>79</v>
      </c>
    </row>
    <row r="998" spans="1:15" x14ac:dyDescent="0.25">
      <c r="A998">
        <v>18846</v>
      </c>
      <c r="B998" t="s">
        <v>19</v>
      </c>
      <c r="C998" t="s">
        <v>29</v>
      </c>
      <c r="D998" t="str">
        <f>IFERROR(INDEX(Sheet2!$B$2:$B$1132,MATCH(Sheet1!C998,Sheet1!$C$2:$C$1132,0)),"IDK")</f>
        <v>IT</v>
      </c>
      <c r="E998" t="s">
        <v>51</v>
      </c>
      <c r="F998" t="s">
        <v>54</v>
      </c>
      <c r="G998" s="1">
        <v>45308</v>
      </c>
      <c r="H998" t="s">
        <v>58</v>
      </c>
      <c r="I998" s="2" t="s">
        <v>146</v>
      </c>
      <c r="J998" s="2" t="s">
        <v>147</v>
      </c>
      <c r="K998">
        <f>IFERROR(INDEX(Sheet2!$C$2:$C$1132,MATCH(Sheet1!C998,Sheet1!$C$2:$C$1132,0)),"")</f>
        <v>35000</v>
      </c>
      <c r="L998">
        <f>IFERROR(INDEX(Sheet2!$D$2:$D$1132,MATCH(Sheet1!C998,$C$2:$C$1132,0)),"")</f>
        <v>70000</v>
      </c>
      <c r="M998" t="str">
        <f>IFERROR(INDEX($M$2:$M$1132,MATCH(B998,$B$2:$B$1132,0)),"")</f>
        <v>NETWORK SECURITY, ETHICAL HACKING, RISK ASSESSMENT</v>
      </c>
      <c r="N998" t="s">
        <v>75</v>
      </c>
      <c r="O998" t="s">
        <v>79</v>
      </c>
    </row>
    <row r="999" spans="1:15" x14ac:dyDescent="0.25">
      <c r="A999">
        <v>18847</v>
      </c>
      <c r="B999" t="s">
        <v>19</v>
      </c>
      <c r="C999" t="s">
        <v>37</v>
      </c>
      <c r="D999" t="s">
        <v>43</v>
      </c>
      <c r="E999" t="s">
        <v>51</v>
      </c>
      <c r="F999" t="s">
        <v>54</v>
      </c>
      <c r="G999" s="1">
        <v>45636</v>
      </c>
      <c r="H999" t="s">
        <v>58</v>
      </c>
      <c r="I999" s="2" t="s">
        <v>146</v>
      </c>
      <c r="J999" s="2" t="s">
        <v>147</v>
      </c>
      <c r="K999">
        <v>45000</v>
      </c>
      <c r="L999">
        <v>90000</v>
      </c>
      <c r="M999" t="str">
        <f>IFERROR(INDEX($M$2:$M$1132,MATCH(B999,$B$2:$B$1132,0)),"")</f>
        <v>NETWORK SECURITY, ETHICAL HACKING, RISK ASSESSMENT</v>
      </c>
      <c r="N999" t="s">
        <v>76</v>
      </c>
      <c r="O999" t="s">
        <v>79</v>
      </c>
    </row>
    <row r="1000" spans="1:15" x14ac:dyDescent="0.25">
      <c r="A1000">
        <v>18848</v>
      </c>
      <c r="B1000" t="s">
        <v>19</v>
      </c>
      <c r="C1000" t="s">
        <v>38</v>
      </c>
      <c r="D1000" t="s">
        <v>42</v>
      </c>
      <c r="E1000" t="s">
        <v>51</v>
      </c>
      <c r="F1000" t="s">
        <v>54</v>
      </c>
      <c r="G1000" s="1">
        <v>45511</v>
      </c>
      <c r="H1000" t="s">
        <v>58</v>
      </c>
      <c r="I1000" s="2" t="s">
        <v>129</v>
      </c>
      <c r="J1000" s="2" t="s">
        <v>130</v>
      </c>
      <c r="K1000">
        <v>20000</v>
      </c>
      <c r="L1000">
        <v>80000</v>
      </c>
      <c r="M1000" t="str">
        <f>IFERROR(INDEX($M$2:$M$1132,MATCH(B1000,$B$2:$B$1132,0)),"")</f>
        <v>NETWORK SECURITY, ETHICAL HACKING, RISK ASSESSMENT</v>
      </c>
      <c r="N1000" t="s">
        <v>76</v>
      </c>
      <c r="O1000" t="s">
        <v>79</v>
      </c>
    </row>
    <row r="1001" spans="1:15" x14ac:dyDescent="0.25">
      <c r="A1001">
        <v>18849</v>
      </c>
      <c r="B1001" t="s">
        <v>19</v>
      </c>
      <c r="C1001" t="s">
        <v>31</v>
      </c>
      <c r="D1001" t="str">
        <f>IFERROR(INDEX(Sheet2!$B$2:$B$1132,MATCH(Sheet1!C1001,Sheet1!$C$2:$C$1132,0)),"IDK")</f>
        <v>IT</v>
      </c>
      <c r="E1001" t="s">
        <v>51</v>
      </c>
      <c r="F1001" t="s">
        <v>54</v>
      </c>
      <c r="G1001" s="1">
        <v>45588</v>
      </c>
      <c r="H1001" t="s">
        <v>58</v>
      </c>
      <c r="I1001" s="2" t="s">
        <v>129</v>
      </c>
      <c r="J1001" s="2" t="s">
        <v>130</v>
      </c>
      <c r="K1001">
        <f>IFERROR(INDEX(Sheet2!$C$2:$C$1132,MATCH(Sheet1!C1001,Sheet1!$C$2:$C$1132,0)),"")</f>
        <v>25000</v>
      </c>
      <c r="L1001">
        <f>IFERROR(INDEX(Sheet2!$D$2:$D$1132,MATCH(Sheet1!C1001,$C$2:$C$1132,0)),"")</f>
        <v>75000</v>
      </c>
      <c r="M1001" t="str">
        <f>IFERROR(INDEX($M$2:$M$1132,MATCH(B1001,$B$2:$B$1132,0)),"")</f>
        <v>NETWORK SECURITY, ETHICAL HACKING, RISK ASSESSMENT</v>
      </c>
      <c r="N1001" t="s">
        <v>76</v>
      </c>
      <c r="O1001" t="s">
        <v>79</v>
      </c>
    </row>
    <row r="1002" spans="1:15" x14ac:dyDescent="0.25">
      <c r="A1002">
        <v>18850</v>
      </c>
      <c r="B1002" t="s">
        <v>19</v>
      </c>
      <c r="C1002" t="s">
        <v>35</v>
      </c>
      <c r="D1002" t="str">
        <f>IFERROR(INDEX(Sheet2!$B$2:$B$1132,MATCH(Sheet1!C1002,Sheet1!$C$2:$C$1132,0)),"IDK")</f>
        <v>SOCIAL</v>
      </c>
      <c r="E1002" t="s">
        <v>51</v>
      </c>
      <c r="F1002" t="s">
        <v>54</v>
      </c>
      <c r="G1002" s="1">
        <v>45408</v>
      </c>
      <c r="H1002" t="s">
        <v>58</v>
      </c>
      <c r="I1002" s="2" t="s">
        <v>136</v>
      </c>
      <c r="J1002" s="2" t="s">
        <v>137</v>
      </c>
      <c r="K1002">
        <f>IFERROR(INDEX(Sheet2!$C$2:$C$1132,MATCH(Sheet1!C1002,Sheet1!$C$2:$C$1132,0)),"")</f>
        <v>30000</v>
      </c>
      <c r="L1002">
        <f>IFERROR(INDEX(Sheet2!$D$2:$D$1132,MATCH(Sheet1!C1002,$C$2:$C$1132,0)),"")</f>
        <v>95000</v>
      </c>
      <c r="M1002" t="str">
        <f>IFERROR(INDEX($M$2:$M$1132,MATCH(B1002,$B$2:$B$1132,0)),"")</f>
        <v>NETWORK SECURITY, ETHICAL HACKING, RISK ASSESSMENT</v>
      </c>
      <c r="N1002" t="s">
        <v>74</v>
      </c>
      <c r="O1002" t="s">
        <v>79</v>
      </c>
    </row>
    <row r="1003" spans="1:15" x14ac:dyDescent="0.25">
      <c r="A1003">
        <v>18851</v>
      </c>
      <c r="B1003" t="s">
        <v>19</v>
      </c>
      <c r="C1003" t="s">
        <v>36</v>
      </c>
      <c r="D1003" t="str">
        <f>IFERROR(INDEX(Sheet2!$B$2:$B$1132,MATCH(Sheet1!C1003,Sheet1!$C$2:$C$1132,0)),"IDK")</f>
        <v>IT</v>
      </c>
      <c r="E1003" t="s">
        <v>51</v>
      </c>
      <c r="F1003" t="s">
        <v>54</v>
      </c>
      <c r="G1003" s="1">
        <v>45329</v>
      </c>
      <c r="H1003" t="s">
        <v>58</v>
      </c>
      <c r="I1003" s="2" t="s">
        <v>129</v>
      </c>
      <c r="J1003" s="2" t="s">
        <v>130</v>
      </c>
      <c r="K1003">
        <f>IFERROR(INDEX(Sheet2!$C$2:$C$1132,MATCH(Sheet1!C1003,Sheet1!$C$2:$C$1132,0)),"")</f>
        <v>50000</v>
      </c>
      <c r="L1003">
        <f>IFERROR(INDEX(Sheet2!$D$2:$D$1132,MATCH(Sheet1!C1003,$C$2:$C$1132,0)),"")</f>
        <v>100000</v>
      </c>
      <c r="M1003" t="str">
        <f>IFERROR(INDEX($M$2:$M$1132,MATCH(B1003,$B$2:$B$1132,0)),"")</f>
        <v>NETWORK SECURITY, ETHICAL HACKING, RISK ASSESSMENT</v>
      </c>
      <c r="N1003" t="s">
        <v>74</v>
      </c>
      <c r="O1003" t="s">
        <v>79</v>
      </c>
    </row>
    <row r="1004" spans="1:15" x14ac:dyDescent="0.25">
      <c r="A1004">
        <v>18852</v>
      </c>
      <c r="B1004" t="s">
        <v>19</v>
      </c>
      <c r="C1004" t="s">
        <v>27</v>
      </c>
      <c r="D1004" t="str">
        <f>IFERROR(INDEX(Sheet2!$B$2:$B$1132,MATCH(Sheet1!C1004,Sheet1!$C$2:$C$1132,0)),"IDK")</f>
        <v>IT</v>
      </c>
      <c r="E1004" t="s">
        <v>51</v>
      </c>
      <c r="F1004" t="s">
        <v>54</v>
      </c>
      <c r="G1004" s="1">
        <v>45418</v>
      </c>
      <c r="H1004" t="s">
        <v>58</v>
      </c>
      <c r="I1004" s="2" t="s">
        <v>138</v>
      </c>
      <c r="J1004" s="2" t="s">
        <v>148</v>
      </c>
      <c r="K1004">
        <f>IFERROR(INDEX(Sheet2!$C$2:$C$1132,MATCH(Sheet1!C1004,Sheet1!$C$2:$C$1132,0)),"")</f>
        <v>40000</v>
      </c>
      <c r="L1004">
        <f>IFERROR(INDEX(Sheet2!$D$2:$D$1132,MATCH(Sheet1!C1004,$C$2:$C$1132,0)),"")</f>
        <v>80000</v>
      </c>
      <c r="M1004" t="str">
        <f>IFERROR(INDEX($M$2:$M$1132,MATCH(B1004,$B$2:$B$1132,0)),"")</f>
        <v>NETWORK SECURITY, ETHICAL HACKING, RISK ASSESSMENT</v>
      </c>
      <c r="N1004" t="s">
        <v>74</v>
      </c>
      <c r="O1004" t="s">
        <v>79</v>
      </c>
    </row>
    <row r="1005" spans="1:15" x14ac:dyDescent="0.25">
      <c r="A1005">
        <v>18853</v>
      </c>
      <c r="B1005" t="s">
        <v>19</v>
      </c>
      <c r="C1005" t="s">
        <v>28</v>
      </c>
      <c r="D1005" t="str">
        <f>IFERROR(INDEX(Sheet2!$B$2:$B$1132,MATCH(Sheet1!C1005,Sheet1!$C$2:$C$1132,0)),"IDK")</f>
        <v>IT</v>
      </c>
      <c r="E1005" t="s">
        <v>51</v>
      </c>
      <c r="F1005" t="s">
        <v>54</v>
      </c>
      <c r="G1005" s="1">
        <v>45361</v>
      </c>
      <c r="H1005" t="s">
        <v>58</v>
      </c>
      <c r="I1005" s="2" t="s">
        <v>138</v>
      </c>
      <c r="J1005" s="2" t="s">
        <v>148</v>
      </c>
      <c r="K1005">
        <f>IFERROR(INDEX(Sheet2!$C$2:$C$1132,MATCH(Sheet1!C1005,Sheet1!$C$2:$C$1132,0)),"")</f>
        <v>30000</v>
      </c>
      <c r="L1005">
        <f>IFERROR(INDEX(Sheet2!$D$2:$D$1132,MATCH(Sheet1!C1005,$C$2:$C$1132,0)),"")</f>
        <v>55000</v>
      </c>
      <c r="M1005" t="str">
        <f>IFERROR(INDEX($M$2:$M$1132,MATCH(B1005,$B$2:$B$1132,0)),"")</f>
        <v>NETWORK SECURITY, ETHICAL HACKING, RISK ASSESSMENT</v>
      </c>
      <c r="N1005" t="s">
        <v>75</v>
      </c>
      <c r="O1005" t="s">
        <v>79</v>
      </c>
    </row>
    <row r="1006" spans="1:15" x14ac:dyDescent="0.25">
      <c r="A1006">
        <v>18854</v>
      </c>
      <c r="B1006" t="s">
        <v>19</v>
      </c>
      <c r="C1006" t="s">
        <v>29</v>
      </c>
      <c r="D1006" t="str">
        <f>IFERROR(INDEX(Sheet2!$B$2:$B$1132,MATCH(Sheet1!C1006,Sheet1!$C$2:$C$1132,0)),"IDK")</f>
        <v>IT</v>
      </c>
      <c r="E1006" t="s">
        <v>51</v>
      </c>
      <c r="F1006" t="s">
        <v>54</v>
      </c>
      <c r="G1006" s="1">
        <v>45510</v>
      </c>
      <c r="H1006" t="s">
        <v>58</v>
      </c>
      <c r="I1006" s="2" t="s">
        <v>142</v>
      </c>
      <c r="J1006" s="2" t="s">
        <v>143</v>
      </c>
      <c r="K1006">
        <f>IFERROR(INDEX(Sheet2!$C$2:$C$1132,MATCH(Sheet1!C1006,Sheet1!$C$2:$C$1132,0)),"")</f>
        <v>35000</v>
      </c>
      <c r="L1006">
        <f>IFERROR(INDEX(Sheet2!$D$2:$D$1132,MATCH(Sheet1!C1006,$C$2:$C$1132,0)),"")</f>
        <v>70000</v>
      </c>
      <c r="M1006" t="str">
        <f>IFERROR(INDEX($M$2:$M$1132,MATCH(B1006,$B$2:$B$1132,0)),"")</f>
        <v>NETWORK SECURITY, ETHICAL HACKING, RISK ASSESSMENT</v>
      </c>
      <c r="N1006" t="s">
        <v>75</v>
      </c>
      <c r="O1006" t="s">
        <v>79</v>
      </c>
    </row>
    <row r="1007" spans="1:15" x14ac:dyDescent="0.25">
      <c r="A1007">
        <v>18855</v>
      </c>
      <c r="B1007" t="s">
        <v>19</v>
      </c>
      <c r="C1007" t="s">
        <v>37</v>
      </c>
      <c r="D1007" t="s">
        <v>43</v>
      </c>
      <c r="E1007" t="s">
        <v>51</v>
      </c>
      <c r="F1007" t="s">
        <v>54</v>
      </c>
      <c r="G1007" s="1">
        <v>45632</v>
      </c>
      <c r="H1007" t="s">
        <v>58</v>
      </c>
      <c r="I1007" s="2" t="s">
        <v>142</v>
      </c>
      <c r="J1007" s="2" t="s">
        <v>143</v>
      </c>
      <c r="K1007">
        <v>45000</v>
      </c>
      <c r="L1007">
        <v>90000</v>
      </c>
      <c r="M1007" t="str">
        <f>IFERROR(INDEX($M$2:$M$1132,MATCH(B1007,$B$2:$B$1132,0)),"")</f>
        <v>NETWORK SECURITY, ETHICAL HACKING, RISK ASSESSMENT</v>
      </c>
      <c r="N1007" t="s">
        <v>75</v>
      </c>
      <c r="O1007" t="s">
        <v>79</v>
      </c>
    </row>
    <row r="1008" spans="1:15" x14ac:dyDescent="0.25">
      <c r="A1008">
        <v>18856</v>
      </c>
      <c r="B1008" t="s">
        <v>19</v>
      </c>
      <c r="C1008" t="s">
        <v>38</v>
      </c>
      <c r="D1008" t="s">
        <v>42</v>
      </c>
      <c r="E1008" t="s">
        <v>51</v>
      </c>
      <c r="F1008" t="s">
        <v>54</v>
      </c>
      <c r="G1008" s="1">
        <v>45538</v>
      </c>
      <c r="H1008" t="s">
        <v>58</v>
      </c>
      <c r="I1008" s="2" t="s">
        <v>142</v>
      </c>
      <c r="J1008" s="2" t="s">
        <v>143</v>
      </c>
      <c r="K1008">
        <v>20000</v>
      </c>
      <c r="L1008">
        <v>80000</v>
      </c>
      <c r="M1008" t="str">
        <f>IFERROR(INDEX($M$2:$M$1132,MATCH(B1008,$B$2:$B$1132,0)),"")</f>
        <v>NETWORK SECURITY, ETHICAL HACKING, RISK ASSESSMENT</v>
      </c>
      <c r="N1008" t="s">
        <v>76</v>
      </c>
      <c r="O1008" t="s">
        <v>79</v>
      </c>
    </row>
    <row r="1009" spans="1:15" x14ac:dyDescent="0.25">
      <c r="A1009">
        <v>18857</v>
      </c>
      <c r="B1009" t="s">
        <v>19</v>
      </c>
      <c r="C1009" t="s">
        <v>31</v>
      </c>
      <c r="D1009" t="str">
        <f>IFERROR(INDEX(Sheet2!$B$2:$B$1132,MATCH(Sheet1!C1009,Sheet1!$C$2:$C$1132,0)),"IDK")</f>
        <v>IT</v>
      </c>
      <c r="E1009" t="s">
        <v>51</v>
      </c>
      <c r="F1009" t="s">
        <v>54</v>
      </c>
      <c r="G1009" s="1">
        <v>45595</v>
      </c>
      <c r="H1009" t="s">
        <v>58</v>
      </c>
      <c r="I1009" s="2" t="s">
        <v>142</v>
      </c>
      <c r="J1009" s="2" t="s">
        <v>143</v>
      </c>
      <c r="K1009">
        <f>IFERROR(INDEX(Sheet2!$C$2:$C$1132,MATCH(Sheet1!C1009,Sheet1!$C$2:$C$1132,0)),"")</f>
        <v>25000</v>
      </c>
      <c r="L1009">
        <f>IFERROR(INDEX(Sheet2!$D$2:$D$1132,MATCH(Sheet1!C1009,$C$2:$C$1132,0)),"")</f>
        <v>75000</v>
      </c>
      <c r="M1009" t="str">
        <f>IFERROR(INDEX($M$2:$M$1132,MATCH(B1009,$B$2:$B$1132,0)),"")</f>
        <v>NETWORK SECURITY, ETHICAL HACKING, RISK ASSESSMENT</v>
      </c>
      <c r="N1009" t="s">
        <v>76</v>
      </c>
      <c r="O1009" t="s">
        <v>79</v>
      </c>
    </row>
    <row r="1010" spans="1:15" x14ac:dyDescent="0.25">
      <c r="A1010">
        <v>18858</v>
      </c>
      <c r="B1010" t="s">
        <v>19</v>
      </c>
      <c r="C1010" t="s">
        <v>35</v>
      </c>
      <c r="D1010" t="str">
        <f>IFERROR(INDEX(Sheet2!$B$2:$B$1132,MATCH(Sheet1!C1010,Sheet1!$C$2:$C$1132,0)),"IDK")</f>
        <v>SOCIAL</v>
      </c>
      <c r="E1010" t="s">
        <v>51</v>
      </c>
      <c r="F1010" t="s">
        <v>54</v>
      </c>
      <c r="G1010" s="1">
        <v>45351</v>
      </c>
      <c r="H1010" t="s">
        <v>58</v>
      </c>
      <c r="I1010" s="2" t="s">
        <v>131</v>
      </c>
      <c r="J1010" s="2" t="s">
        <v>132</v>
      </c>
      <c r="K1010">
        <f>IFERROR(INDEX(Sheet2!$C$2:$C$1132,MATCH(Sheet1!C1010,Sheet1!$C$2:$C$1132,0)),"")</f>
        <v>30000</v>
      </c>
      <c r="L1010">
        <f>IFERROR(INDEX(Sheet2!$D$2:$D$1132,MATCH(Sheet1!C1010,$C$2:$C$1132,0)),"")</f>
        <v>95000</v>
      </c>
      <c r="M1010" t="str">
        <f>IFERROR(INDEX($M$2:$M$1132,MATCH(B1010,$B$2:$B$1132,0)),"")</f>
        <v>NETWORK SECURITY, ETHICAL HACKING, RISK ASSESSMENT</v>
      </c>
      <c r="N1010" t="s">
        <v>76</v>
      </c>
      <c r="O1010" t="s">
        <v>79</v>
      </c>
    </row>
    <row r="1011" spans="1:15" x14ac:dyDescent="0.25">
      <c r="A1011">
        <v>18859</v>
      </c>
      <c r="B1011" t="s">
        <v>19</v>
      </c>
      <c r="C1011" t="s">
        <v>36</v>
      </c>
      <c r="D1011" t="str">
        <f>IFERROR(INDEX(Sheet2!$B$2:$B$1132,MATCH(Sheet1!C1011,Sheet1!$C$2:$C$1132,0)),"IDK")</f>
        <v>IT</v>
      </c>
      <c r="E1011" t="s">
        <v>51</v>
      </c>
      <c r="F1011" t="s">
        <v>54</v>
      </c>
      <c r="G1011" s="1">
        <v>45561</v>
      </c>
      <c r="H1011" t="s">
        <v>58</v>
      </c>
      <c r="I1011" s="2" t="s">
        <v>131</v>
      </c>
      <c r="J1011" s="2" t="s">
        <v>132</v>
      </c>
      <c r="K1011">
        <f>IFERROR(INDEX(Sheet2!$C$2:$C$1132,MATCH(Sheet1!C1011,Sheet1!$C$2:$C$1132,0)),"")</f>
        <v>50000</v>
      </c>
      <c r="L1011">
        <f>IFERROR(INDEX(Sheet2!$D$2:$D$1132,MATCH(Sheet1!C1011,$C$2:$C$1132,0)),"")</f>
        <v>100000</v>
      </c>
      <c r="M1011" t="str">
        <f>IFERROR(INDEX($M$2:$M$1132,MATCH(B1011,$B$2:$B$1132,0)),"")</f>
        <v>NETWORK SECURITY, ETHICAL HACKING, RISK ASSESSMENT</v>
      </c>
      <c r="N1011" t="s">
        <v>74</v>
      </c>
      <c r="O1011" t="s">
        <v>79</v>
      </c>
    </row>
    <row r="1012" spans="1:15" x14ac:dyDescent="0.25">
      <c r="A1012">
        <v>18860</v>
      </c>
      <c r="B1012" t="s">
        <v>19</v>
      </c>
      <c r="C1012" t="s">
        <v>27</v>
      </c>
      <c r="D1012" t="str">
        <f>IFERROR(INDEX(Sheet2!$B$2:$B$1132,MATCH(Sheet1!C1012,Sheet1!$C$2:$C$1132,0)),"IDK")</f>
        <v>IT</v>
      </c>
      <c r="E1012" t="s">
        <v>51</v>
      </c>
      <c r="F1012" t="s">
        <v>54</v>
      </c>
      <c r="G1012" s="1">
        <v>45439</v>
      </c>
      <c r="H1012" t="s">
        <v>58</v>
      </c>
      <c r="I1012" s="2" t="s">
        <v>129</v>
      </c>
      <c r="J1012" s="2" t="s">
        <v>130</v>
      </c>
      <c r="K1012">
        <f>IFERROR(INDEX(Sheet2!$C$2:$C$1132,MATCH(Sheet1!C1012,Sheet1!$C$2:$C$1132,0)),"")</f>
        <v>40000</v>
      </c>
      <c r="L1012">
        <f>IFERROR(INDEX(Sheet2!$D$2:$D$1132,MATCH(Sheet1!C1012,$C$2:$C$1132,0)),"")</f>
        <v>80000</v>
      </c>
      <c r="M1012" t="str">
        <f>IFERROR(INDEX($M$2:$M$1132,MATCH(B1012,$B$2:$B$1132,0)),"")</f>
        <v>NETWORK SECURITY, ETHICAL HACKING, RISK ASSESSMENT</v>
      </c>
      <c r="N1012" t="s">
        <v>74</v>
      </c>
      <c r="O1012" t="s">
        <v>79</v>
      </c>
    </row>
    <row r="1013" spans="1:15" x14ac:dyDescent="0.25">
      <c r="A1013">
        <v>18861</v>
      </c>
      <c r="B1013" t="s">
        <v>19</v>
      </c>
      <c r="C1013" t="s">
        <v>28</v>
      </c>
      <c r="D1013" t="str">
        <f>IFERROR(INDEX(Sheet2!$B$2:$B$1132,MATCH(Sheet1!C1013,Sheet1!$C$2:$C$1132,0)),"IDK")</f>
        <v>IT</v>
      </c>
      <c r="E1013" t="s">
        <v>51</v>
      </c>
      <c r="F1013" t="s">
        <v>54</v>
      </c>
      <c r="G1013" s="1">
        <v>45520</v>
      </c>
      <c r="H1013" t="s">
        <v>58</v>
      </c>
      <c r="I1013" s="2" t="s">
        <v>129</v>
      </c>
      <c r="J1013" s="2" t="s">
        <v>130</v>
      </c>
      <c r="K1013">
        <f>IFERROR(INDEX(Sheet2!$C$2:$C$1132,MATCH(Sheet1!C1013,Sheet1!$C$2:$C$1132,0)),"")</f>
        <v>30000</v>
      </c>
      <c r="L1013">
        <f>IFERROR(INDEX(Sheet2!$D$2:$D$1132,MATCH(Sheet1!C1013,$C$2:$C$1132,0)),"")</f>
        <v>55000</v>
      </c>
      <c r="M1013" t="str">
        <f>IFERROR(INDEX($M$2:$M$1132,MATCH(B1013,$B$2:$B$1132,0)),"")</f>
        <v>NETWORK SECURITY, ETHICAL HACKING, RISK ASSESSMENT</v>
      </c>
      <c r="N1013" t="s">
        <v>74</v>
      </c>
      <c r="O1013" t="s">
        <v>79</v>
      </c>
    </row>
    <row r="1014" spans="1:15" x14ac:dyDescent="0.25">
      <c r="A1014">
        <v>18862</v>
      </c>
      <c r="B1014" t="s">
        <v>19</v>
      </c>
      <c r="C1014" t="s">
        <v>29</v>
      </c>
      <c r="D1014" t="str">
        <f>IFERROR(INDEX(Sheet2!$B$2:$B$1132,MATCH(Sheet1!C1014,Sheet1!$C$2:$C$1132,0)),"IDK")</f>
        <v>IT</v>
      </c>
      <c r="E1014" t="s">
        <v>51</v>
      </c>
      <c r="F1014" t="s">
        <v>54</v>
      </c>
      <c r="G1014" s="1">
        <v>45510</v>
      </c>
      <c r="H1014" t="s">
        <v>58</v>
      </c>
      <c r="I1014" s="2" t="s">
        <v>129</v>
      </c>
      <c r="J1014" s="2" t="s">
        <v>130</v>
      </c>
      <c r="K1014">
        <f>IFERROR(INDEX(Sheet2!$C$2:$C$1132,MATCH(Sheet1!C1014,Sheet1!$C$2:$C$1132,0)),"")</f>
        <v>35000</v>
      </c>
      <c r="L1014">
        <f>IFERROR(INDEX(Sheet2!$D$2:$D$1132,MATCH(Sheet1!C1014,$C$2:$C$1132,0)),"")</f>
        <v>70000</v>
      </c>
      <c r="M1014" t="str">
        <f>IFERROR(INDEX($M$2:$M$1132,MATCH(B1014,$B$2:$B$1132,0)),"")</f>
        <v>NETWORK SECURITY, ETHICAL HACKING, RISK ASSESSMENT</v>
      </c>
      <c r="N1014" t="s">
        <v>75</v>
      </c>
      <c r="O1014" t="s">
        <v>79</v>
      </c>
    </row>
    <row r="1015" spans="1:15" x14ac:dyDescent="0.25">
      <c r="A1015">
        <v>18863</v>
      </c>
      <c r="B1015" t="s">
        <v>19</v>
      </c>
      <c r="C1015" t="s">
        <v>37</v>
      </c>
      <c r="D1015" t="s">
        <v>43</v>
      </c>
      <c r="E1015" t="s">
        <v>51</v>
      </c>
      <c r="F1015" t="s">
        <v>54</v>
      </c>
      <c r="G1015" s="1">
        <v>45416</v>
      </c>
      <c r="H1015" t="s">
        <v>58</v>
      </c>
      <c r="I1015" s="2" t="s">
        <v>146</v>
      </c>
      <c r="J1015" s="2" t="s">
        <v>147</v>
      </c>
      <c r="K1015">
        <v>45000</v>
      </c>
      <c r="L1015">
        <v>90000</v>
      </c>
      <c r="M1015" t="str">
        <f>IFERROR(INDEX($M$2:$M$1132,MATCH(B1015,$B$2:$B$1132,0)),"")</f>
        <v>NETWORK SECURITY, ETHICAL HACKING, RISK ASSESSMENT</v>
      </c>
      <c r="N1015" t="s">
        <v>75</v>
      </c>
      <c r="O1015" t="s">
        <v>79</v>
      </c>
    </row>
    <row r="1016" spans="1:15" x14ac:dyDescent="0.25">
      <c r="A1016">
        <v>18864</v>
      </c>
      <c r="B1016" t="s">
        <v>19</v>
      </c>
      <c r="C1016" t="s">
        <v>38</v>
      </c>
      <c r="D1016" t="s">
        <v>42</v>
      </c>
      <c r="E1016" t="s">
        <v>51</v>
      </c>
      <c r="F1016" t="s">
        <v>54</v>
      </c>
      <c r="G1016" s="1">
        <v>45652</v>
      </c>
      <c r="H1016" t="s">
        <v>58</v>
      </c>
      <c r="I1016" s="2" t="s">
        <v>146</v>
      </c>
      <c r="J1016" s="2" t="s">
        <v>147</v>
      </c>
      <c r="K1016">
        <v>20000</v>
      </c>
      <c r="L1016">
        <v>80000</v>
      </c>
      <c r="M1016" t="str">
        <f>IFERROR(INDEX($M$2:$M$1132,MATCH(B1016,$B$2:$B$1132,0)),"")</f>
        <v>NETWORK SECURITY, ETHICAL HACKING, RISK ASSESSMENT</v>
      </c>
      <c r="N1016" t="s">
        <v>75</v>
      </c>
      <c r="O1016" t="s">
        <v>79</v>
      </c>
    </row>
    <row r="1017" spans="1:15" x14ac:dyDescent="0.25">
      <c r="A1017">
        <v>18865</v>
      </c>
      <c r="B1017" t="s">
        <v>19</v>
      </c>
      <c r="C1017" t="s">
        <v>31</v>
      </c>
      <c r="D1017" t="str">
        <f>IFERROR(INDEX(Sheet2!$B$2:$B$1132,MATCH(Sheet1!C1017,Sheet1!$C$2:$C$1132,0)),"IDK")</f>
        <v>IT</v>
      </c>
      <c r="E1017" t="s">
        <v>51</v>
      </c>
      <c r="F1017" t="s">
        <v>54</v>
      </c>
      <c r="G1017" s="1">
        <v>45602</v>
      </c>
      <c r="H1017" t="s">
        <v>58</v>
      </c>
      <c r="I1017" s="2" t="s">
        <v>146</v>
      </c>
      <c r="J1017" s="2" t="s">
        <v>147</v>
      </c>
      <c r="K1017">
        <f>IFERROR(INDEX(Sheet2!$C$2:$C$1132,MATCH(Sheet1!C1017,Sheet1!$C$2:$C$1132,0)),"")</f>
        <v>25000</v>
      </c>
      <c r="L1017">
        <f>IFERROR(INDEX(Sheet2!$D$2:$D$1132,MATCH(Sheet1!C1017,$C$2:$C$1132,0)),"")</f>
        <v>75000</v>
      </c>
      <c r="M1017" t="str">
        <f>IFERROR(INDEX($M$2:$M$1132,MATCH(B1017,$B$2:$B$1132,0)),"")</f>
        <v>NETWORK SECURITY, ETHICAL HACKING, RISK ASSESSMENT</v>
      </c>
      <c r="N1017" t="s">
        <v>76</v>
      </c>
      <c r="O1017" t="s">
        <v>79</v>
      </c>
    </row>
    <row r="1018" spans="1:15" x14ac:dyDescent="0.25">
      <c r="A1018">
        <v>18866</v>
      </c>
      <c r="B1018" t="s">
        <v>19</v>
      </c>
      <c r="C1018" t="s">
        <v>35</v>
      </c>
      <c r="D1018" t="str">
        <f>IFERROR(INDEX(Sheet2!$B$2:$B$1132,MATCH(Sheet1!C1018,Sheet1!$C$2:$C$1132,0)),"IDK")</f>
        <v>SOCIAL</v>
      </c>
      <c r="E1018" t="s">
        <v>51</v>
      </c>
      <c r="F1018" t="s">
        <v>54</v>
      </c>
      <c r="G1018" s="1">
        <v>45402</v>
      </c>
      <c r="H1018" t="s">
        <v>58</v>
      </c>
      <c r="I1018" s="2" t="s">
        <v>136</v>
      </c>
      <c r="J1018" s="2" t="s">
        <v>137</v>
      </c>
      <c r="K1018">
        <f>IFERROR(INDEX(Sheet2!$C$2:$C$1132,MATCH(Sheet1!C1018,Sheet1!$C$2:$C$1132,0)),"")</f>
        <v>30000</v>
      </c>
      <c r="L1018">
        <f>IFERROR(INDEX(Sheet2!$D$2:$D$1132,MATCH(Sheet1!C1018,$C$2:$C$1132,0)),"")</f>
        <v>95000</v>
      </c>
      <c r="M1018" t="str">
        <f>IFERROR(INDEX($M$2:$M$1132,MATCH(B1018,$B$2:$B$1132,0)),"")</f>
        <v>NETWORK SECURITY, ETHICAL HACKING, RISK ASSESSMENT</v>
      </c>
      <c r="N1018" t="s">
        <v>76</v>
      </c>
      <c r="O1018" t="s">
        <v>79</v>
      </c>
    </row>
    <row r="1019" spans="1:15" x14ac:dyDescent="0.25">
      <c r="A1019">
        <v>18867</v>
      </c>
      <c r="B1019" t="s">
        <v>19</v>
      </c>
      <c r="C1019" t="s">
        <v>36</v>
      </c>
      <c r="D1019" t="str">
        <f>IFERROR(INDEX(Sheet2!$B$2:$B$1132,MATCH(Sheet1!C1019,Sheet1!$C$2:$C$1132,0)),"IDK")</f>
        <v>IT</v>
      </c>
      <c r="E1019" t="s">
        <v>51</v>
      </c>
      <c r="F1019" t="s">
        <v>54</v>
      </c>
      <c r="G1019" s="1">
        <v>45367</v>
      </c>
      <c r="H1019" t="s">
        <v>58</v>
      </c>
      <c r="I1019" s="2" t="s">
        <v>136</v>
      </c>
      <c r="J1019" s="2" t="s">
        <v>137</v>
      </c>
      <c r="K1019">
        <f>IFERROR(INDEX(Sheet2!$C$2:$C$1132,MATCH(Sheet1!C1019,Sheet1!$C$2:$C$1132,0)),"")</f>
        <v>50000</v>
      </c>
      <c r="L1019">
        <f>IFERROR(INDEX(Sheet2!$D$2:$D$1132,MATCH(Sheet1!C1019,$C$2:$C$1132,0)),"")</f>
        <v>100000</v>
      </c>
      <c r="M1019" t="str">
        <f>IFERROR(INDEX($M$2:$M$1132,MATCH(B1019,$B$2:$B$1132,0)),"")</f>
        <v>NETWORK SECURITY, ETHICAL HACKING, RISK ASSESSMENT</v>
      </c>
      <c r="N1019" t="s">
        <v>76</v>
      </c>
      <c r="O1019" t="s">
        <v>79</v>
      </c>
    </row>
    <row r="1020" spans="1:15" x14ac:dyDescent="0.25">
      <c r="A1020">
        <v>18868</v>
      </c>
      <c r="B1020" t="s">
        <v>19</v>
      </c>
      <c r="C1020" t="s">
        <v>27</v>
      </c>
      <c r="D1020" t="str">
        <f>IFERROR(INDEX(Sheet2!$B$2:$B$1132,MATCH(Sheet1!C1020,Sheet1!$C$2:$C$1132,0)),"IDK")</f>
        <v>IT</v>
      </c>
      <c r="E1020" t="s">
        <v>51</v>
      </c>
      <c r="F1020" t="s">
        <v>54</v>
      </c>
      <c r="G1020" s="1">
        <v>45586</v>
      </c>
      <c r="H1020" t="s">
        <v>58</v>
      </c>
      <c r="I1020" s="2" t="s">
        <v>136</v>
      </c>
      <c r="J1020" s="2" t="s">
        <v>137</v>
      </c>
      <c r="K1020">
        <f>IFERROR(INDEX(Sheet2!$C$2:$C$1132,MATCH(Sheet1!C1020,Sheet1!$C$2:$C$1132,0)),"")</f>
        <v>40000</v>
      </c>
      <c r="L1020">
        <f>IFERROR(INDEX(Sheet2!$D$2:$D$1132,MATCH(Sheet1!C1020,$C$2:$C$1132,0)),"")</f>
        <v>80000</v>
      </c>
      <c r="M1020" t="str">
        <f>IFERROR(INDEX($M$2:$M$1132,MATCH(B1020,$B$2:$B$1132,0)),"")</f>
        <v>NETWORK SECURITY, ETHICAL HACKING, RISK ASSESSMENT</v>
      </c>
      <c r="N1020" t="s">
        <v>74</v>
      </c>
      <c r="O1020" t="s">
        <v>79</v>
      </c>
    </row>
    <row r="1021" spans="1:15" x14ac:dyDescent="0.25">
      <c r="A1021">
        <v>18869</v>
      </c>
      <c r="B1021" t="s">
        <v>19</v>
      </c>
      <c r="C1021" t="s">
        <v>28</v>
      </c>
      <c r="D1021" t="str">
        <f>IFERROR(INDEX(Sheet2!$B$2:$B$1132,MATCH(Sheet1!C1021,Sheet1!$C$2:$C$1132,0)),"IDK")</f>
        <v>IT</v>
      </c>
      <c r="E1021" t="s">
        <v>51</v>
      </c>
      <c r="F1021" t="s">
        <v>54</v>
      </c>
      <c r="G1021" s="1">
        <v>45531</v>
      </c>
      <c r="H1021" t="s">
        <v>58</v>
      </c>
      <c r="I1021" s="2" t="s">
        <v>136</v>
      </c>
      <c r="J1021" s="2" t="s">
        <v>137</v>
      </c>
      <c r="K1021">
        <f>IFERROR(INDEX(Sheet2!$C$2:$C$1132,MATCH(Sheet1!C1021,Sheet1!$C$2:$C$1132,0)),"")</f>
        <v>30000</v>
      </c>
      <c r="L1021">
        <f>IFERROR(INDEX(Sheet2!$D$2:$D$1132,MATCH(Sheet1!C1021,$C$2:$C$1132,0)),"")</f>
        <v>55000</v>
      </c>
      <c r="M1021" t="str">
        <f>IFERROR(INDEX($M$2:$M$1132,MATCH(B1021,$B$2:$B$1132,0)),"")</f>
        <v>NETWORK SECURITY, ETHICAL HACKING, RISK ASSESSMENT</v>
      </c>
      <c r="N1021" t="s">
        <v>74</v>
      </c>
      <c r="O1021" t="s">
        <v>79</v>
      </c>
    </row>
    <row r="1022" spans="1:15" x14ac:dyDescent="0.25">
      <c r="A1022">
        <v>18870</v>
      </c>
      <c r="B1022" t="s">
        <v>19</v>
      </c>
      <c r="C1022" t="s">
        <v>29</v>
      </c>
      <c r="D1022" t="str">
        <f>IFERROR(INDEX(Sheet2!$B$2:$B$1132,MATCH(Sheet1!C1022,Sheet1!$C$2:$C$1132,0)),"IDK")</f>
        <v>IT</v>
      </c>
      <c r="E1022" t="s">
        <v>51</v>
      </c>
      <c r="F1022" t="s">
        <v>54</v>
      </c>
      <c r="G1022" s="1">
        <v>45463</v>
      </c>
      <c r="H1022" t="s">
        <v>58</v>
      </c>
      <c r="I1022" s="2" t="s">
        <v>133</v>
      </c>
      <c r="J1022" s="2" t="s">
        <v>134</v>
      </c>
      <c r="K1022">
        <f>IFERROR(INDEX(Sheet2!$C$2:$C$1132,MATCH(Sheet1!C1022,Sheet1!$C$2:$C$1132,0)),"")</f>
        <v>35000</v>
      </c>
      <c r="L1022">
        <f>IFERROR(INDEX(Sheet2!$D$2:$D$1132,MATCH(Sheet1!C1022,$C$2:$C$1132,0)),"")</f>
        <v>70000</v>
      </c>
      <c r="M1022" t="str">
        <f>IFERROR(INDEX($M$2:$M$1132,MATCH(B1022,$B$2:$B$1132,0)),"")</f>
        <v>NETWORK SECURITY, ETHICAL HACKING, RISK ASSESSMENT</v>
      </c>
      <c r="N1022" t="s">
        <v>74</v>
      </c>
      <c r="O1022" t="s">
        <v>79</v>
      </c>
    </row>
    <row r="1023" spans="1:15" x14ac:dyDescent="0.25">
      <c r="A1023">
        <v>18871</v>
      </c>
      <c r="B1023" t="s">
        <v>19</v>
      </c>
      <c r="C1023" t="s">
        <v>40</v>
      </c>
      <c r="D1023" t="s">
        <v>41</v>
      </c>
      <c r="E1023" t="s">
        <v>51</v>
      </c>
      <c r="F1023" t="s">
        <v>54</v>
      </c>
      <c r="G1023" s="1">
        <v>45641</v>
      </c>
      <c r="H1023" t="s">
        <v>58</v>
      </c>
      <c r="I1023" s="2" t="s">
        <v>133</v>
      </c>
      <c r="J1023" s="2" t="s">
        <v>134</v>
      </c>
      <c r="K1023">
        <v>30000</v>
      </c>
      <c r="L1023">
        <v>65000</v>
      </c>
      <c r="M1023" t="str">
        <f>IFERROR(INDEX($M$2:$M$1132,MATCH(B1023,$B$2:$B$1132,0)),"")</f>
        <v>NETWORK SECURITY, ETHICAL HACKING, RISK ASSESSMENT</v>
      </c>
      <c r="N1023" t="s">
        <v>75</v>
      </c>
      <c r="O1023" t="s">
        <v>79</v>
      </c>
    </row>
    <row r="1024" spans="1:15" x14ac:dyDescent="0.25">
      <c r="A1024">
        <v>18872</v>
      </c>
      <c r="B1024" t="s">
        <v>19</v>
      </c>
      <c r="C1024" t="s">
        <v>35</v>
      </c>
      <c r="D1024" t="str">
        <f>IFERROR(INDEX(Sheet2!$B$2:$B$1132,MATCH(Sheet1!C1024,Sheet1!$C$2:$C$1132,0)),"IDK")</f>
        <v>SOCIAL</v>
      </c>
      <c r="E1024" t="s">
        <v>51</v>
      </c>
      <c r="F1024" t="s">
        <v>54</v>
      </c>
      <c r="G1024" s="1">
        <v>45544</v>
      </c>
      <c r="H1024" t="s">
        <v>58</v>
      </c>
      <c r="I1024" s="2" t="s">
        <v>133</v>
      </c>
      <c r="J1024" s="2" t="s">
        <v>134</v>
      </c>
      <c r="K1024">
        <f>IFERROR(INDEX(Sheet2!$C$2:$C$1132,MATCH(Sheet1!C1024,Sheet1!$C$2:$C$1132,0)),"")</f>
        <v>30000</v>
      </c>
      <c r="L1024">
        <f>IFERROR(INDEX(Sheet2!$D$2:$D$1132,MATCH(Sheet1!C1024,$C$2:$C$1132,0)),"")</f>
        <v>95000</v>
      </c>
      <c r="M1024" t="str">
        <f>IFERROR(INDEX($M$2:$M$1132,MATCH(B1024,$B$2:$B$1132,0)),"")</f>
        <v>NETWORK SECURITY, ETHICAL HACKING, RISK ASSESSMENT</v>
      </c>
      <c r="N1024" t="s">
        <v>75</v>
      </c>
      <c r="O1024" t="s">
        <v>79</v>
      </c>
    </row>
    <row r="1025" spans="1:15" x14ac:dyDescent="0.25">
      <c r="A1025">
        <v>18873</v>
      </c>
      <c r="B1025" t="s">
        <v>19</v>
      </c>
      <c r="C1025" t="s">
        <v>36</v>
      </c>
      <c r="D1025" t="str">
        <f>IFERROR(INDEX(Sheet2!$B$2:$B$1132,MATCH(Sheet1!C1025,Sheet1!$C$2:$C$1132,0)),"IDK")</f>
        <v>IT</v>
      </c>
      <c r="E1025" t="s">
        <v>51</v>
      </c>
      <c r="F1025" t="s">
        <v>54</v>
      </c>
      <c r="G1025" s="1">
        <v>45301</v>
      </c>
      <c r="H1025" t="s">
        <v>58</v>
      </c>
      <c r="I1025" s="2" t="s">
        <v>133</v>
      </c>
      <c r="J1025" s="2" t="s">
        <v>134</v>
      </c>
      <c r="K1025">
        <f>IFERROR(INDEX(Sheet2!$C$2:$C$1132,MATCH(Sheet1!C1025,Sheet1!$C$2:$C$1132,0)),"")</f>
        <v>50000</v>
      </c>
      <c r="L1025">
        <f>IFERROR(INDEX(Sheet2!$D$2:$D$1132,MATCH(Sheet1!C1025,$C$2:$C$1132,0)),"")</f>
        <v>100000</v>
      </c>
      <c r="M1025" t="str">
        <f>IFERROR(INDEX($M$2:$M$1132,MATCH(B1025,$B$2:$B$1132,0)),"")</f>
        <v>NETWORK SECURITY, ETHICAL HACKING, RISK ASSESSMENT</v>
      </c>
      <c r="N1025" t="s">
        <v>75</v>
      </c>
      <c r="O1025" t="s">
        <v>79</v>
      </c>
    </row>
    <row r="1026" spans="1:15" x14ac:dyDescent="0.25">
      <c r="A1026">
        <v>18874</v>
      </c>
      <c r="B1026" t="s">
        <v>19</v>
      </c>
      <c r="C1026" t="s">
        <v>27</v>
      </c>
      <c r="D1026" t="str">
        <f>IFERROR(INDEX(Sheet2!$B$2:$B$1132,MATCH(Sheet1!C1026,Sheet1!$C$2:$C$1132,0)),"IDK")</f>
        <v>IT</v>
      </c>
      <c r="E1026" t="s">
        <v>51</v>
      </c>
      <c r="F1026" t="s">
        <v>54</v>
      </c>
      <c r="G1026" s="1">
        <v>45358</v>
      </c>
      <c r="H1026" t="s">
        <v>58</v>
      </c>
      <c r="I1026" s="2" t="s">
        <v>133</v>
      </c>
      <c r="J1026" s="2" t="s">
        <v>134</v>
      </c>
      <c r="K1026">
        <f>IFERROR(INDEX(Sheet2!$C$2:$C$1132,MATCH(Sheet1!C1026,Sheet1!$C$2:$C$1132,0)),"")</f>
        <v>40000</v>
      </c>
      <c r="L1026">
        <f>IFERROR(INDEX(Sheet2!$D$2:$D$1132,MATCH(Sheet1!C1026,$C$2:$C$1132,0)),"")</f>
        <v>80000</v>
      </c>
      <c r="M1026" t="str">
        <f>IFERROR(INDEX($M$2:$M$1132,MATCH(B1026,$B$2:$B$1132,0)),"")</f>
        <v>NETWORK SECURITY, ETHICAL HACKING, RISK ASSESSMENT</v>
      </c>
      <c r="N1026" t="s">
        <v>76</v>
      </c>
      <c r="O1026" t="s">
        <v>79</v>
      </c>
    </row>
    <row r="1027" spans="1:15" x14ac:dyDescent="0.25">
      <c r="A1027">
        <v>18875</v>
      </c>
      <c r="B1027" t="s">
        <v>19</v>
      </c>
      <c r="C1027" t="s">
        <v>28</v>
      </c>
      <c r="D1027" t="str">
        <f>IFERROR(INDEX(Sheet2!$B$2:$B$1132,MATCH(Sheet1!C1027,Sheet1!$C$2:$C$1132,0)),"IDK")</f>
        <v>IT</v>
      </c>
      <c r="E1027" t="s">
        <v>51</v>
      </c>
      <c r="F1027" t="s">
        <v>54</v>
      </c>
      <c r="G1027" s="1">
        <v>45484</v>
      </c>
      <c r="H1027" t="s">
        <v>58</v>
      </c>
      <c r="I1027" s="2" t="s">
        <v>138</v>
      </c>
      <c r="J1027" s="2" t="s">
        <v>139</v>
      </c>
      <c r="K1027">
        <f>IFERROR(INDEX(Sheet2!$C$2:$C$1132,MATCH(Sheet1!C1027,Sheet1!$C$2:$C$1132,0)),"")</f>
        <v>30000</v>
      </c>
      <c r="L1027">
        <f>IFERROR(INDEX(Sheet2!$D$2:$D$1132,MATCH(Sheet1!C1027,$C$2:$C$1132,0)),"")</f>
        <v>55000</v>
      </c>
      <c r="M1027" t="str">
        <f>IFERROR(INDEX($M$2:$M$1132,MATCH(B1027,$B$2:$B$1132,0)),"")</f>
        <v>NETWORK SECURITY, ETHICAL HACKING, RISK ASSESSMENT</v>
      </c>
      <c r="N1027" t="s">
        <v>76</v>
      </c>
      <c r="O1027" t="s">
        <v>79</v>
      </c>
    </row>
    <row r="1028" spans="1:15" x14ac:dyDescent="0.25">
      <c r="A1028">
        <v>18876</v>
      </c>
      <c r="B1028" t="s">
        <v>19</v>
      </c>
      <c r="C1028" t="s">
        <v>29</v>
      </c>
      <c r="D1028" t="str">
        <f>IFERROR(INDEX(Sheet2!$B$2:$B$1132,MATCH(Sheet1!C1028,Sheet1!$C$2:$C$1132,0)),"IDK")</f>
        <v>IT</v>
      </c>
      <c r="E1028" t="s">
        <v>51</v>
      </c>
      <c r="F1028" t="s">
        <v>54</v>
      </c>
      <c r="G1028" s="1">
        <v>45435</v>
      </c>
      <c r="H1028" t="s">
        <v>55</v>
      </c>
      <c r="I1028" s="2" t="s">
        <v>82</v>
      </c>
      <c r="J1028" s="2" t="s">
        <v>83</v>
      </c>
      <c r="K1028">
        <f>IFERROR(INDEX(Sheet2!$C$2:$C$1132,MATCH(Sheet1!C1028,Sheet1!$C$2:$C$1132,0)),"")</f>
        <v>35000</v>
      </c>
      <c r="L1028">
        <f>IFERROR(INDEX(Sheet2!$D$2:$D$1132,MATCH(Sheet1!C1028,$C$2:$C$1132,0)),"")</f>
        <v>70000</v>
      </c>
      <c r="M1028" t="str">
        <f>IFERROR(INDEX($M$2:$M$1132,MATCH(B1028,$B$2:$B$1132,0)),"")</f>
        <v>NETWORK SECURITY, ETHICAL HACKING, RISK ASSESSMENT</v>
      </c>
      <c r="N1028" t="s">
        <v>76</v>
      </c>
      <c r="O1028" t="s">
        <v>79</v>
      </c>
    </row>
    <row r="1029" spans="1:15" x14ac:dyDescent="0.25">
      <c r="A1029">
        <v>18877</v>
      </c>
      <c r="B1029" t="s">
        <v>19</v>
      </c>
      <c r="C1029" t="s">
        <v>40</v>
      </c>
      <c r="D1029" t="s">
        <v>41</v>
      </c>
      <c r="E1029" t="s">
        <v>51</v>
      </c>
      <c r="F1029" t="s">
        <v>54</v>
      </c>
      <c r="G1029" s="1">
        <v>45324</v>
      </c>
      <c r="H1029" t="s">
        <v>55</v>
      </c>
      <c r="I1029" s="2" t="s">
        <v>82</v>
      </c>
      <c r="J1029" s="2" t="s">
        <v>84</v>
      </c>
      <c r="K1029">
        <f>IFERROR(INDEX(Sheet2!$C$2:$C$1132,MATCH(Sheet1!C1029,Sheet1!$C$2:$C$1132,0)),"")</f>
        <v>0</v>
      </c>
      <c r="L1029">
        <f>IFERROR(INDEX(Sheet2!$D$2:$D$1132,MATCH(Sheet1!C1029,$C$2:$C$1132,0)),"")</f>
        <v>0</v>
      </c>
      <c r="M1029" t="str">
        <f>IFERROR(INDEX($M$2:$M$1132,MATCH(B1029,$B$2:$B$1132,0)),"")</f>
        <v>NETWORK SECURITY, ETHICAL HACKING, RISK ASSESSMENT</v>
      </c>
      <c r="N1029" t="s">
        <v>74</v>
      </c>
      <c r="O1029" t="s">
        <v>79</v>
      </c>
    </row>
    <row r="1030" spans="1:15" x14ac:dyDescent="0.25">
      <c r="A1030">
        <v>18878</v>
      </c>
      <c r="B1030" t="s">
        <v>19</v>
      </c>
      <c r="C1030" t="s">
        <v>35</v>
      </c>
      <c r="D1030" t="str">
        <f>IFERROR(INDEX(Sheet2!$B$2:$B$1132,MATCH(Sheet1!C1030,Sheet1!$C$2:$C$1132,0)),"IDK")</f>
        <v>SOCIAL</v>
      </c>
      <c r="E1030" t="s">
        <v>51</v>
      </c>
      <c r="F1030" t="s">
        <v>54</v>
      </c>
      <c r="G1030" s="1">
        <v>45331</v>
      </c>
      <c r="H1030" t="s">
        <v>55</v>
      </c>
      <c r="I1030" s="2" t="s">
        <v>82</v>
      </c>
      <c r="J1030" s="2" t="s">
        <v>85</v>
      </c>
      <c r="K1030">
        <f>IFERROR(INDEX(Sheet2!$C$2:$C$1132,MATCH(Sheet1!C1030,Sheet1!$C$2:$C$1132,0)),"")</f>
        <v>30000</v>
      </c>
      <c r="L1030">
        <f>IFERROR(INDEX(Sheet2!$D$2:$D$1132,MATCH(Sheet1!C1030,$C$2:$C$1132,0)),"")</f>
        <v>95000</v>
      </c>
      <c r="M1030" t="str">
        <f>IFERROR(INDEX($M$2:$M$1132,MATCH(B1030,$B$2:$B$1132,0)),"")</f>
        <v>NETWORK SECURITY, ETHICAL HACKING, RISK ASSESSMENT</v>
      </c>
      <c r="N1030" t="s">
        <v>74</v>
      </c>
      <c r="O1030" t="s">
        <v>79</v>
      </c>
    </row>
    <row r="1031" spans="1:15" x14ac:dyDescent="0.25">
      <c r="A1031">
        <v>18879</v>
      </c>
      <c r="B1031" t="s">
        <v>19</v>
      </c>
      <c r="C1031" t="s">
        <v>36</v>
      </c>
      <c r="D1031" t="str">
        <f>IFERROR(INDEX(Sheet2!$B$2:$B$1132,MATCH(Sheet1!C1031,Sheet1!$C$2:$C$1132,0)),"IDK")</f>
        <v>IT</v>
      </c>
      <c r="E1031" t="s">
        <v>51</v>
      </c>
      <c r="F1031" t="s">
        <v>52</v>
      </c>
      <c r="G1031" s="1">
        <v>45587</v>
      </c>
      <c r="H1031" t="s">
        <v>55</v>
      </c>
      <c r="I1031" s="2" t="s">
        <v>86</v>
      </c>
      <c r="J1031" s="2" t="s">
        <v>87</v>
      </c>
      <c r="K1031">
        <f>IFERROR(INDEX(Sheet2!$C$2:$C$1132,MATCH(Sheet1!C1031,Sheet1!$C$2:$C$1132,0)),"")</f>
        <v>50000</v>
      </c>
      <c r="L1031">
        <f>IFERROR(INDEX(Sheet2!$D$2:$D$1132,MATCH(Sheet1!C1031,$C$2:$C$1132,0)),"")</f>
        <v>100000</v>
      </c>
      <c r="M1031" t="str">
        <f>IFERROR(INDEX($M$2:$M$1132,MATCH(B1031,$B$2:$B$1132,0)),"")</f>
        <v>NETWORK SECURITY, ETHICAL HACKING, RISK ASSESSMENT</v>
      </c>
      <c r="N1031" t="s">
        <v>74</v>
      </c>
      <c r="O1031" t="s">
        <v>79</v>
      </c>
    </row>
    <row r="1032" spans="1:15" x14ac:dyDescent="0.25">
      <c r="A1032">
        <v>18880</v>
      </c>
      <c r="B1032" t="s">
        <v>19</v>
      </c>
      <c r="C1032" t="s">
        <v>27</v>
      </c>
      <c r="D1032" t="str">
        <f>IFERROR(INDEX(Sheet2!$B$2:$B$1132,MATCH(Sheet1!C1032,Sheet1!$C$2:$C$1132,0)),"IDK")</f>
        <v>IT</v>
      </c>
      <c r="E1032" t="s">
        <v>51</v>
      </c>
      <c r="F1032" t="s">
        <v>52</v>
      </c>
      <c r="G1032" s="1">
        <v>45499</v>
      </c>
      <c r="H1032" t="s">
        <v>55</v>
      </c>
      <c r="I1032" s="2" t="s">
        <v>88</v>
      </c>
      <c r="J1032" s="2" t="s">
        <v>89</v>
      </c>
      <c r="K1032">
        <f>IFERROR(INDEX(Sheet2!$C$2:$C$1132,MATCH(Sheet1!C1032,Sheet1!$C$2:$C$1132,0)),"")</f>
        <v>40000</v>
      </c>
      <c r="L1032">
        <f>IFERROR(INDEX(Sheet2!$D$2:$D$1132,MATCH(Sheet1!C1032,$C$2:$C$1132,0)),"")</f>
        <v>80000</v>
      </c>
      <c r="M1032" t="str">
        <f>IFERROR(INDEX($M$2:$M$1132,MATCH(B1032,$B$2:$B$1132,0)),"")</f>
        <v>NETWORK SECURITY, ETHICAL HACKING, RISK ASSESSMENT</v>
      </c>
      <c r="N1032" t="s">
        <v>75</v>
      </c>
      <c r="O1032" t="s">
        <v>79</v>
      </c>
    </row>
    <row r="1033" spans="1:15" x14ac:dyDescent="0.25">
      <c r="A1033">
        <v>18881</v>
      </c>
      <c r="B1033" t="s">
        <v>19</v>
      </c>
      <c r="C1033" t="s">
        <v>28</v>
      </c>
      <c r="D1033" t="str">
        <f>IFERROR(INDEX(Sheet2!$B$2:$B$1132,MATCH(Sheet1!C1033,Sheet1!$C$2:$C$1132,0)),"IDK")</f>
        <v>IT</v>
      </c>
      <c r="E1033" t="s">
        <v>51</v>
      </c>
      <c r="F1033" t="s">
        <v>52</v>
      </c>
      <c r="G1033" s="1">
        <v>45433</v>
      </c>
      <c r="H1033" t="s">
        <v>55</v>
      </c>
      <c r="I1033" s="2" t="s">
        <v>88</v>
      </c>
      <c r="J1033" s="2" t="s">
        <v>90</v>
      </c>
      <c r="K1033">
        <f>IFERROR(INDEX(Sheet2!$C$2:$C$1132,MATCH(Sheet1!C1033,Sheet1!$C$2:$C$1132,0)),"")</f>
        <v>30000</v>
      </c>
      <c r="L1033">
        <f>IFERROR(INDEX(Sheet2!$D$2:$D$1132,MATCH(Sheet1!C1033,$C$2:$C$1132,0)),"")</f>
        <v>55000</v>
      </c>
      <c r="M1033" t="str">
        <f>IFERROR(INDEX($M$2:$M$1132,MATCH(B1033,$B$2:$B$1132,0)),"")</f>
        <v>NETWORK SECURITY, ETHICAL HACKING, RISK ASSESSMENT</v>
      </c>
      <c r="N1033" t="s">
        <v>75</v>
      </c>
      <c r="O1033" t="s">
        <v>79</v>
      </c>
    </row>
    <row r="1034" spans="1:15" x14ac:dyDescent="0.25">
      <c r="A1034">
        <v>18882</v>
      </c>
      <c r="B1034" t="s">
        <v>19</v>
      </c>
      <c r="C1034" t="s">
        <v>29</v>
      </c>
      <c r="D1034" t="str">
        <f>IFERROR(INDEX(Sheet2!$B$2:$B$1132,MATCH(Sheet1!C1034,Sheet1!$C$2:$C$1132,0)),"IDK")</f>
        <v>IT</v>
      </c>
      <c r="E1034" t="s">
        <v>51</v>
      </c>
      <c r="F1034" t="s">
        <v>52</v>
      </c>
      <c r="G1034" s="1">
        <v>45480</v>
      </c>
      <c r="H1034" t="s">
        <v>55</v>
      </c>
      <c r="I1034" s="2" t="s">
        <v>88</v>
      </c>
      <c r="J1034" s="2" t="s">
        <v>91</v>
      </c>
      <c r="K1034">
        <f>IFERROR(INDEX(Sheet2!$C$2:$C$1132,MATCH(Sheet1!C1034,Sheet1!$C$2:$C$1132,0)),"")</f>
        <v>35000</v>
      </c>
      <c r="L1034">
        <f>IFERROR(INDEX(Sheet2!$D$2:$D$1132,MATCH(Sheet1!C1034,$C$2:$C$1132,0)),"")</f>
        <v>70000</v>
      </c>
      <c r="M1034" t="str">
        <f>IFERROR(INDEX($M$2:$M$1132,MATCH(B1034,$B$2:$B$1132,0)),"")</f>
        <v>NETWORK SECURITY, ETHICAL HACKING, RISK ASSESSMENT</v>
      </c>
      <c r="N1034" t="s">
        <v>75</v>
      </c>
      <c r="O1034" t="s">
        <v>79</v>
      </c>
    </row>
    <row r="1035" spans="1:15" x14ac:dyDescent="0.25">
      <c r="A1035">
        <v>18883</v>
      </c>
      <c r="B1035" t="s">
        <v>19</v>
      </c>
      <c r="C1035" t="s">
        <v>40</v>
      </c>
      <c r="D1035" t="s">
        <v>41</v>
      </c>
      <c r="E1035" t="s">
        <v>51</v>
      </c>
      <c r="F1035" t="s">
        <v>52</v>
      </c>
      <c r="G1035" s="1">
        <v>45493</v>
      </c>
      <c r="H1035" t="s">
        <v>55</v>
      </c>
      <c r="I1035" s="2" t="s">
        <v>92</v>
      </c>
      <c r="J1035" s="2" t="s">
        <v>93</v>
      </c>
      <c r="K1035">
        <v>35000</v>
      </c>
      <c r="L1035">
        <v>65000</v>
      </c>
      <c r="M1035" t="str">
        <f>IFERROR(INDEX($M$2:$M$1132,MATCH(B1035,$B$2:$B$1132,0)),"")</f>
        <v>NETWORK SECURITY, ETHICAL HACKING, RISK ASSESSMENT</v>
      </c>
      <c r="N1035" t="s">
        <v>76</v>
      </c>
      <c r="O1035" t="s">
        <v>79</v>
      </c>
    </row>
    <row r="1036" spans="1:15" x14ac:dyDescent="0.25">
      <c r="A1036">
        <v>18884</v>
      </c>
      <c r="B1036" t="s">
        <v>14</v>
      </c>
      <c r="C1036" t="s">
        <v>40</v>
      </c>
      <c r="D1036" t="s">
        <v>41</v>
      </c>
      <c r="E1036" t="s">
        <v>51</v>
      </c>
      <c r="F1036" t="s">
        <v>52</v>
      </c>
      <c r="G1036" s="1">
        <v>45492</v>
      </c>
      <c r="H1036" t="s">
        <v>55</v>
      </c>
      <c r="I1036" s="2" t="s">
        <v>94</v>
      </c>
      <c r="J1036" s="2" t="s">
        <v>95</v>
      </c>
      <c r="K1036">
        <v>35000</v>
      </c>
      <c r="L1036">
        <v>65000</v>
      </c>
      <c r="M1036" t="str">
        <f>IFERROR(INDEX($M$2:$M$1132,MATCH(B1036,$B$2:$B$1132,0)),"")</f>
        <v>SQL, EXCEL, POWERBI, TABLEAU</v>
      </c>
      <c r="N1036" t="s">
        <v>76</v>
      </c>
      <c r="O1036" t="s">
        <v>79</v>
      </c>
    </row>
    <row r="1037" spans="1:15" x14ac:dyDescent="0.25">
      <c r="A1037">
        <v>18885</v>
      </c>
      <c r="B1037" t="s">
        <v>15</v>
      </c>
      <c r="C1037" t="s">
        <v>40</v>
      </c>
      <c r="D1037" t="s">
        <v>41</v>
      </c>
      <c r="E1037" t="s">
        <v>51</v>
      </c>
      <c r="F1037" t="s">
        <v>52</v>
      </c>
      <c r="G1037" s="1">
        <v>45565</v>
      </c>
      <c r="H1037" t="s">
        <v>55</v>
      </c>
      <c r="I1037" s="2" t="s">
        <v>96</v>
      </c>
      <c r="J1037" s="2" t="s">
        <v>97</v>
      </c>
      <c r="K1037">
        <v>35000</v>
      </c>
      <c r="L1037">
        <v>65000</v>
      </c>
      <c r="M1037" t="str">
        <f>IFERROR(INDEX($M$2:$M$1132,MATCH(B1037,$B$2:$B$1132,0)),"")</f>
        <v>SQL, PYTHON, AWS, SPARK, ETL</v>
      </c>
      <c r="N1037" t="s">
        <v>76</v>
      </c>
      <c r="O1037" t="s">
        <v>79</v>
      </c>
    </row>
    <row r="1038" spans="1:15" x14ac:dyDescent="0.25">
      <c r="A1038">
        <v>18886</v>
      </c>
      <c r="B1038" t="s">
        <v>16</v>
      </c>
      <c r="C1038" t="s">
        <v>40</v>
      </c>
      <c r="D1038" t="s">
        <v>41</v>
      </c>
      <c r="E1038" t="s">
        <v>51</v>
      </c>
      <c r="F1038" t="s">
        <v>52</v>
      </c>
      <c r="G1038" s="1">
        <v>45580</v>
      </c>
      <c r="H1038" t="s">
        <v>55</v>
      </c>
      <c r="I1038" s="2" t="s">
        <v>98</v>
      </c>
      <c r="J1038" s="2" t="s">
        <v>99</v>
      </c>
      <c r="K1038">
        <v>35000</v>
      </c>
      <c r="L1038">
        <v>65000</v>
      </c>
      <c r="M1038" t="str">
        <f>IFERROR(INDEX($M$2:$M$1132,MATCH(B1038,$B$2:$B$1132,0)),"")</f>
        <v>PYTHON, MACHINE LEARNING,PANDAS, NUMPY</v>
      </c>
      <c r="N1038" t="s">
        <v>74</v>
      </c>
      <c r="O1038" t="s">
        <v>79</v>
      </c>
    </row>
    <row r="1039" spans="1:15" x14ac:dyDescent="0.25">
      <c r="A1039">
        <v>18887</v>
      </c>
      <c r="B1039" t="s">
        <v>17</v>
      </c>
      <c r="C1039" t="s">
        <v>40</v>
      </c>
      <c r="D1039" t="s">
        <v>41</v>
      </c>
      <c r="E1039" t="s">
        <v>51</v>
      </c>
      <c r="F1039" t="s">
        <v>52</v>
      </c>
      <c r="G1039" s="1">
        <v>45631</v>
      </c>
      <c r="H1039" t="s">
        <v>55</v>
      </c>
      <c r="I1039" s="2" t="s">
        <v>100</v>
      </c>
      <c r="J1039" s="2" t="s">
        <v>101</v>
      </c>
      <c r="K1039">
        <v>35000</v>
      </c>
      <c r="L1039">
        <v>65000</v>
      </c>
      <c r="M1039" t="str">
        <f>IFERROR(INDEX($M$2:$M$1132,MATCH(B1039,$B$2:$B$1132,0)),"")</f>
        <v>EXCEL, SQL, TABLEAU, BUSINESS ANALYSIS</v>
      </c>
      <c r="N1039" t="s">
        <v>74</v>
      </c>
      <c r="O1039" t="s">
        <v>79</v>
      </c>
    </row>
    <row r="1040" spans="1:15" x14ac:dyDescent="0.25">
      <c r="A1040">
        <v>18888</v>
      </c>
      <c r="B1040" t="s">
        <v>18</v>
      </c>
      <c r="C1040" t="s">
        <v>40</v>
      </c>
      <c r="D1040" t="s">
        <v>41</v>
      </c>
      <c r="E1040" t="s">
        <v>51</v>
      </c>
      <c r="F1040" t="s">
        <v>52</v>
      </c>
      <c r="G1040" s="1">
        <v>45547</v>
      </c>
      <c r="H1040" t="s">
        <v>55</v>
      </c>
      <c r="I1040" s="2" t="s">
        <v>102</v>
      </c>
      <c r="J1040" s="2" t="s">
        <v>103</v>
      </c>
      <c r="K1040">
        <v>35000</v>
      </c>
      <c r="L1040">
        <v>65000</v>
      </c>
      <c r="M1040" t="str">
        <f>IFERROR(INDEX($M$2:$M$1132,MATCH(B1040,$B$2:$B$1132,0)),"")</f>
        <v>EXCEL, SQL, FINANCIAL MODELLING, BUDGETING</v>
      </c>
      <c r="N1040" t="s">
        <v>74</v>
      </c>
      <c r="O1040" t="s">
        <v>79</v>
      </c>
    </row>
    <row r="1041" spans="1:15" x14ac:dyDescent="0.25">
      <c r="A1041">
        <v>18889</v>
      </c>
      <c r="B1041" t="s">
        <v>19</v>
      </c>
      <c r="C1041" t="s">
        <v>40</v>
      </c>
      <c r="D1041" t="s">
        <v>41</v>
      </c>
      <c r="E1041" t="s">
        <v>51</v>
      </c>
      <c r="F1041" t="s">
        <v>52</v>
      </c>
      <c r="G1041" s="1">
        <v>45644</v>
      </c>
      <c r="H1041" t="s">
        <v>55</v>
      </c>
      <c r="I1041" s="2" t="s">
        <v>104</v>
      </c>
      <c r="J1041" s="2" t="s">
        <v>105</v>
      </c>
      <c r="K1041">
        <v>35000</v>
      </c>
      <c r="L1041">
        <v>65000</v>
      </c>
      <c r="M1041" t="str">
        <f>IFERROR(INDEX($M$2:$M$1132,MATCH(B1041,$B$2:$B$1132,0)),"")</f>
        <v>NETWORK SECURITY, ETHICAL HACKING, RISK ASSESSMENT</v>
      </c>
      <c r="N1041" t="s">
        <v>75</v>
      </c>
      <c r="O1041" t="s">
        <v>79</v>
      </c>
    </row>
    <row r="1042" spans="1:15" x14ac:dyDescent="0.25">
      <c r="A1042">
        <v>18890</v>
      </c>
      <c r="B1042" t="s">
        <v>20</v>
      </c>
      <c r="C1042" t="s">
        <v>40</v>
      </c>
      <c r="D1042" t="s">
        <v>41</v>
      </c>
      <c r="E1042" t="s">
        <v>51</v>
      </c>
      <c r="F1042" t="s">
        <v>52</v>
      </c>
      <c r="G1042" s="1">
        <v>45648</v>
      </c>
      <c r="H1042" t="s">
        <v>55</v>
      </c>
      <c r="I1042" s="2" t="s">
        <v>88</v>
      </c>
      <c r="J1042" s="2" t="s">
        <v>90</v>
      </c>
      <c r="K1042">
        <v>35000</v>
      </c>
      <c r="L1042">
        <v>65000</v>
      </c>
      <c r="M1042" t="str">
        <f>IFERROR(INDEX($M$2:$M$1132,MATCH(B1042,$B$2:$B$1132,0)),"")</f>
        <v>CLOUD, NETWORK, MACHINE LEARNING</v>
      </c>
      <c r="N1042" t="s">
        <v>75</v>
      </c>
      <c r="O1042" t="s">
        <v>79</v>
      </c>
    </row>
    <row r="1043" spans="1:15" x14ac:dyDescent="0.25">
      <c r="A1043">
        <v>18891</v>
      </c>
      <c r="B1043" t="s">
        <v>21</v>
      </c>
      <c r="C1043" t="s">
        <v>40</v>
      </c>
      <c r="D1043" t="s">
        <v>41</v>
      </c>
      <c r="E1043" t="s">
        <v>51</v>
      </c>
      <c r="F1043" t="s">
        <v>52</v>
      </c>
      <c r="G1043" s="1">
        <v>45564</v>
      </c>
      <c r="H1043" t="s">
        <v>55</v>
      </c>
      <c r="I1043" s="2" t="s">
        <v>86</v>
      </c>
      <c r="J1043" s="2" t="s">
        <v>87</v>
      </c>
      <c r="K1043">
        <v>35000</v>
      </c>
      <c r="L1043">
        <v>65000</v>
      </c>
      <c r="M1043" t="str">
        <f>IFERROR(INDEX($M$2:$M$1132,MATCH(B1043,$B$2:$B$1132,0)),"")</f>
        <v>RISK ANALYSIS, DATA ANALYSIS, EXCEL, STATISTICS</v>
      </c>
      <c r="N1043" t="s">
        <v>75</v>
      </c>
      <c r="O1043" t="s">
        <v>79</v>
      </c>
    </row>
    <row r="1044" spans="1:15" x14ac:dyDescent="0.25">
      <c r="A1044">
        <v>18892</v>
      </c>
      <c r="B1044" t="s">
        <v>22</v>
      </c>
      <c r="C1044" t="s">
        <v>40</v>
      </c>
      <c r="D1044" t="s">
        <v>41</v>
      </c>
      <c r="E1044" t="s">
        <v>51</v>
      </c>
      <c r="F1044" t="s">
        <v>52</v>
      </c>
      <c r="G1044" s="1">
        <v>45530</v>
      </c>
      <c r="H1044" t="s">
        <v>55</v>
      </c>
      <c r="I1044" s="2" t="s">
        <v>92</v>
      </c>
      <c r="J1044" s="2" t="s">
        <v>93</v>
      </c>
      <c r="K1044">
        <v>35000</v>
      </c>
      <c r="L1044">
        <v>65000</v>
      </c>
      <c r="M1044" t="str">
        <f>IFERROR(INDEX($M$2:$M$1132,MATCH(B1044,$B$2:$B$1132,0)),"")</f>
        <v>GOOGLE ANALYTICS, SEO, SOCIAL MEDIA ANALYTICS, EXCEL</v>
      </c>
      <c r="N1044" t="s">
        <v>76</v>
      </c>
      <c r="O1044" t="s">
        <v>79</v>
      </c>
    </row>
    <row r="1045" spans="1:15" x14ac:dyDescent="0.25">
      <c r="A1045">
        <v>18893</v>
      </c>
      <c r="B1045" t="s">
        <v>14</v>
      </c>
      <c r="C1045" t="s">
        <v>40</v>
      </c>
      <c r="D1045" t="s">
        <v>41</v>
      </c>
      <c r="E1045" t="s">
        <v>51</v>
      </c>
      <c r="F1045" t="s">
        <v>52</v>
      </c>
      <c r="G1045" s="1">
        <v>45468</v>
      </c>
      <c r="H1045" t="s">
        <v>55</v>
      </c>
      <c r="I1045" s="2" t="s">
        <v>96</v>
      </c>
      <c r="J1045" s="2" t="s">
        <v>97</v>
      </c>
      <c r="K1045">
        <v>35000</v>
      </c>
      <c r="L1045">
        <v>65000</v>
      </c>
      <c r="M1045" t="str">
        <f>IFERROR(INDEX($M$2:$M$1132,MATCH(B1045,$B$2:$B$1132,0)),"")</f>
        <v>SQL, EXCEL, POWERBI, TABLEAU</v>
      </c>
      <c r="N1045" t="s">
        <v>76</v>
      </c>
      <c r="O1045" t="s">
        <v>79</v>
      </c>
    </row>
    <row r="1046" spans="1:15" x14ac:dyDescent="0.25">
      <c r="A1046">
        <v>18894</v>
      </c>
      <c r="B1046" t="s">
        <v>15</v>
      </c>
      <c r="C1046" t="s">
        <v>40</v>
      </c>
      <c r="D1046" t="s">
        <v>41</v>
      </c>
      <c r="E1046" t="s">
        <v>51</v>
      </c>
      <c r="F1046" t="s">
        <v>52</v>
      </c>
      <c r="G1046" s="1">
        <v>45427</v>
      </c>
      <c r="H1046" t="s">
        <v>55</v>
      </c>
      <c r="I1046" s="2" t="s">
        <v>98</v>
      </c>
      <c r="J1046" s="2" t="s">
        <v>99</v>
      </c>
      <c r="K1046">
        <v>35000</v>
      </c>
      <c r="L1046">
        <v>65000</v>
      </c>
      <c r="M1046" t="str">
        <f>IFERROR(INDEX($M$2:$M$1132,MATCH(B1046,$B$2:$B$1132,0)),"")</f>
        <v>SQL, PYTHON, AWS, SPARK, ETL</v>
      </c>
      <c r="N1046" t="s">
        <v>76</v>
      </c>
      <c r="O1046" t="s">
        <v>79</v>
      </c>
    </row>
    <row r="1047" spans="1:15" x14ac:dyDescent="0.25">
      <c r="A1047">
        <v>18895</v>
      </c>
      <c r="B1047" t="s">
        <v>16</v>
      </c>
      <c r="C1047" t="s">
        <v>40</v>
      </c>
      <c r="D1047" t="s">
        <v>41</v>
      </c>
      <c r="E1047" t="s">
        <v>51</v>
      </c>
      <c r="F1047" t="s">
        <v>52</v>
      </c>
      <c r="G1047" s="1">
        <v>45564</v>
      </c>
      <c r="H1047" t="s">
        <v>55</v>
      </c>
      <c r="I1047" s="2" t="s">
        <v>88</v>
      </c>
      <c r="J1047" s="2" t="s">
        <v>91</v>
      </c>
      <c r="K1047">
        <v>35000</v>
      </c>
      <c r="L1047">
        <v>65000</v>
      </c>
      <c r="M1047" t="str">
        <f>IFERROR(INDEX($M$2:$M$1132,MATCH(B1047,$B$2:$B$1132,0)),"")</f>
        <v>PYTHON, MACHINE LEARNING,PANDAS, NUMPY</v>
      </c>
      <c r="N1047" t="s">
        <v>74</v>
      </c>
      <c r="O1047" t="s">
        <v>79</v>
      </c>
    </row>
    <row r="1048" spans="1:15" x14ac:dyDescent="0.25">
      <c r="A1048">
        <v>18896</v>
      </c>
      <c r="B1048" t="s">
        <v>17</v>
      </c>
      <c r="C1048" t="s">
        <v>40</v>
      </c>
      <c r="D1048" t="s">
        <v>41</v>
      </c>
      <c r="E1048" t="s">
        <v>51</v>
      </c>
      <c r="F1048" t="s">
        <v>52</v>
      </c>
      <c r="G1048" s="1">
        <v>45467</v>
      </c>
      <c r="H1048" t="s">
        <v>55</v>
      </c>
      <c r="I1048" s="2" t="s">
        <v>92</v>
      </c>
      <c r="J1048" s="2" t="s">
        <v>93</v>
      </c>
      <c r="K1048">
        <v>35000</v>
      </c>
      <c r="L1048">
        <v>65000</v>
      </c>
      <c r="M1048" t="str">
        <f>IFERROR(INDEX($M$2:$M$1132,MATCH(B1048,$B$2:$B$1132,0)),"")</f>
        <v>EXCEL, SQL, TABLEAU, BUSINESS ANALYSIS</v>
      </c>
      <c r="N1048" t="s">
        <v>74</v>
      </c>
      <c r="O1048" t="s">
        <v>79</v>
      </c>
    </row>
    <row r="1049" spans="1:15" x14ac:dyDescent="0.25">
      <c r="A1049">
        <v>18897</v>
      </c>
      <c r="B1049" t="s">
        <v>18</v>
      </c>
      <c r="C1049" t="s">
        <v>40</v>
      </c>
      <c r="D1049" t="s">
        <v>41</v>
      </c>
      <c r="E1049" t="s">
        <v>51</v>
      </c>
      <c r="F1049" t="s">
        <v>52</v>
      </c>
      <c r="G1049" s="1">
        <v>45427</v>
      </c>
      <c r="H1049" t="s">
        <v>55</v>
      </c>
      <c r="I1049" s="2" t="s">
        <v>94</v>
      </c>
      <c r="J1049" s="2" t="s">
        <v>95</v>
      </c>
      <c r="K1049">
        <v>35000</v>
      </c>
      <c r="L1049">
        <v>65000</v>
      </c>
      <c r="M1049" t="str">
        <f>IFERROR(INDEX($M$2:$M$1132,MATCH(B1049,$B$2:$B$1132,0)),"")</f>
        <v>EXCEL, SQL, FINANCIAL MODELLING, BUDGETING</v>
      </c>
      <c r="N1049" t="s">
        <v>74</v>
      </c>
      <c r="O1049" t="s">
        <v>79</v>
      </c>
    </row>
    <row r="1050" spans="1:15" x14ac:dyDescent="0.25">
      <c r="A1050">
        <v>18898</v>
      </c>
      <c r="B1050" t="s">
        <v>19</v>
      </c>
      <c r="C1050" t="s">
        <v>40</v>
      </c>
      <c r="D1050" t="s">
        <v>41</v>
      </c>
      <c r="E1050" t="s">
        <v>51</v>
      </c>
      <c r="F1050" t="s">
        <v>52</v>
      </c>
      <c r="G1050" s="1">
        <v>45584</v>
      </c>
      <c r="H1050" t="s">
        <v>55</v>
      </c>
      <c r="I1050" s="2" t="s">
        <v>96</v>
      </c>
      <c r="J1050" s="2" t="s">
        <v>97</v>
      </c>
      <c r="K1050">
        <v>35000</v>
      </c>
      <c r="L1050">
        <v>65000</v>
      </c>
      <c r="M1050" t="str">
        <f>IFERROR(INDEX($M$2:$M$1132,MATCH(B1050,$B$2:$B$1132,0)),"")</f>
        <v>NETWORK SECURITY, ETHICAL HACKING, RISK ASSESSMENT</v>
      </c>
      <c r="N1050" t="s">
        <v>75</v>
      </c>
      <c r="O1050" t="s">
        <v>79</v>
      </c>
    </row>
    <row r="1051" spans="1:15" x14ac:dyDescent="0.25">
      <c r="A1051">
        <v>18899</v>
      </c>
      <c r="B1051" t="s">
        <v>20</v>
      </c>
      <c r="C1051" t="s">
        <v>40</v>
      </c>
      <c r="D1051" t="s">
        <v>41</v>
      </c>
      <c r="E1051" t="s">
        <v>51</v>
      </c>
      <c r="F1051" t="s">
        <v>52</v>
      </c>
      <c r="G1051" s="1">
        <v>45653</v>
      </c>
      <c r="H1051" t="s">
        <v>55</v>
      </c>
      <c r="I1051" s="2" t="s">
        <v>98</v>
      </c>
      <c r="J1051" s="2" t="s">
        <v>99</v>
      </c>
      <c r="K1051">
        <v>35000</v>
      </c>
      <c r="L1051">
        <v>65000</v>
      </c>
      <c r="M1051" t="str">
        <f>IFERROR(INDEX($M$2:$M$1132,MATCH(B1051,$B$2:$B$1132,0)),"")</f>
        <v>CLOUD, NETWORK, MACHINE LEARNING</v>
      </c>
      <c r="N1051" t="s">
        <v>75</v>
      </c>
      <c r="O1051" t="s">
        <v>79</v>
      </c>
    </row>
    <row r="1052" spans="1:15" x14ac:dyDescent="0.25">
      <c r="A1052">
        <v>18900</v>
      </c>
      <c r="B1052" t="s">
        <v>21</v>
      </c>
      <c r="C1052" t="s">
        <v>40</v>
      </c>
      <c r="D1052" t="s">
        <v>41</v>
      </c>
      <c r="E1052" t="s">
        <v>51</v>
      </c>
      <c r="F1052" t="s">
        <v>52</v>
      </c>
      <c r="G1052" s="1">
        <v>45399</v>
      </c>
      <c r="H1052" t="s">
        <v>55</v>
      </c>
      <c r="I1052" s="2" t="s">
        <v>100</v>
      </c>
      <c r="J1052" s="2" t="s">
        <v>101</v>
      </c>
      <c r="K1052">
        <v>35000</v>
      </c>
      <c r="L1052">
        <v>65000</v>
      </c>
      <c r="M1052" t="str">
        <f>IFERROR(INDEX($M$2:$M$1132,MATCH(B1052,$B$2:$B$1132,0)),"")</f>
        <v>RISK ANALYSIS, DATA ANALYSIS, EXCEL, STATISTICS</v>
      </c>
      <c r="N1052" t="s">
        <v>75</v>
      </c>
      <c r="O1052" t="s">
        <v>79</v>
      </c>
    </row>
    <row r="1053" spans="1:15" x14ac:dyDescent="0.25">
      <c r="A1053">
        <v>18901</v>
      </c>
      <c r="B1053" t="s">
        <v>22</v>
      </c>
      <c r="C1053" t="s">
        <v>23</v>
      </c>
      <c r="D1053" t="str">
        <f>IFERROR(INDEX(Sheet2!$B$2:$B$1132,MATCH(Sheet1!C1053,Sheet1!$C$2:$C$1132,0)),"IDK")</f>
        <v>IT</v>
      </c>
      <c r="E1053" t="s">
        <v>51</v>
      </c>
      <c r="F1053" t="s">
        <v>52</v>
      </c>
      <c r="G1053" s="1">
        <v>45468</v>
      </c>
      <c r="H1053" t="s">
        <v>55</v>
      </c>
      <c r="I1053" s="2" t="s">
        <v>102</v>
      </c>
      <c r="J1053" s="2" t="s">
        <v>103</v>
      </c>
      <c r="K1053">
        <f>IFERROR(INDEX(Sheet2!$C$2:$C$1132,MATCH(Sheet1!C1053,Sheet1!$C$2:$C$1132,0)),"")</f>
        <v>35000</v>
      </c>
      <c r="L1053">
        <f>IFERROR(INDEX(Sheet2!$D$2:$D$1132,MATCH(Sheet1!C1053,$C$2:$C$1132,0)),"")</f>
        <v>70000</v>
      </c>
      <c r="M1053" t="str">
        <f>IFERROR(INDEX($M$2:$M$1132,MATCH(B1053,$B$2:$B$1132,0)),"")</f>
        <v>GOOGLE ANALYTICS, SEO, SOCIAL MEDIA ANALYTICS, EXCEL</v>
      </c>
      <c r="N1053" t="s">
        <v>76</v>
      </c>
      <c r="O1053" t="s">
        <v>79</v>
      </c>
    </row>
    <row r="1054" spans="1:15" x14ac:dyDescent="0.25">
      <c r="A1054">
        <v>18902</v>
      </c>
      <c r="B1054" t="s">
        <v>14</v>
      </c>
      <c r="C1054" t="s">
        <v>24</v>
      </c>
      <c r="D1054" t="str">
        <f>IFERROR(INDEX(Sheet2!$B$2:$B$1132,MATCH(Sheet1!C1054,Sheet1!$C$2:$C$1132,0)),"IDK")</f>
        <v>HEALTH</v>
      </c>
      <c r="E1054" t="s">
        <v>51</v>
      </c>
      <c r="F1054" t="s">
        <v>52</v>
      </c>
      <c r="G1054" s="1">
        <v>45468</v>
      </c>
      <c r="H1054" t="s">
        <v>55</v>
      </c>
      <c r="I1054" s="2" t="s">
        <v>104</v>
      </c>
      <c r="J1054" s="2" t="s">
        <v>105</v>
      </c>
      <c r="K1054">
        <f>IFERROR(INDEX(Sheet2!$C$2:$C$1132,MATCH(Sheet1!C1054,Sheet1!$C$2:$C$1132,0)),"")</f>
        <v>25000</v>
      </c>
      <c r="L1054">
        <f>IFERROR(INDEX(Sheet2!$D$2:$D$1132,MATCH(Sheet1!C1054,$C$2:$C$1132,0)),"")</f>
        <v>50000</v>
      </c>
      <c r="M1054" t="str">
        <f>IFERROR(INDEX($M$2:$M$1132,MATCH(B1054,$B$2:$B$1132,0)),"")</f>
        <v>SQL, EXCEL, POWERBI, TABLEAU</v>
      </c>
      <c r="N1054" t="s">
        <v>76</v>
      </c>
      <c r="O1054" t="s">
        <v>79</v>
      </c>
    </row>
    <row r="1055" spans="1:15" x14ac:dyDescent="0.25">
      <c r="A1055">
        <v>18903</v>
      </c>
      <c r="B1055" t="s">
        <v>15</v>
      </c>
      <c r="C1055" t="s">
        <v>25</v>
      </c>
      <c r="D1055" t="str">
        <f>IFERROR(INDEX(Sheet2!$B$2:$B$1132,MATCH(Sheet1!C1055,Sheet1!$C$2:$C$1132,0)),"IDK")</f>
        <v>SOCIAL</v>
      </c>
      <c r="E1055" t="s">
        <v>51</v>
      </c>
      <c r="F1055" t="s">
        <v>52</v>
      </c>
      <c r="G1055" s="1">
        <v>45562</v>
      </c>
      <c r="H1055" t="s">
        <v>55</v>
      </c>
      <c r="I1055" s="2" t="s">
        <v>88</v>
      </c>
      <c r="J1055" s="2" t="s">
        <v>90</v>
      </c>
      <c r="K1055">
        <f>IFERROR(INDEX(Sheet2!$C$2:$C$1132,MATCH(Sheet1!C1055,Sheet1!$C$2:$C$1132,0)),"")</f>
        <v>30000</v>
      </c>
      <c r="L1055">
        <f>IFERROR(INDEX(Sheet2!$D$2:$D$1132,MATCH(Sheet1!C1055,$C$2:$C$1132,0)),"")</f>
        <v>60000</v>
      </c>
      <c r="M1055" t="str">
        <f>IFERROR(INDEX($M$2:$M$1132,MATCH(B1055,$B$2:$B$1132,0)),"")</f>
        <v>SQL, PYTHON, AWS, SPARK, ETL</v>
      </c>
      <c r="N1055" t="s">
        <v>76</v>
      </c>
      <c r="O1055" t="s">
        <v>79</v>
      </c>
    </row>
    <row r="1056" spans="1:15" x14ac:dyDescent="0.25">
      <c r="A1056">
        <v>18904</v>
      </c>
      <c r="B1056" t="s">
        <v>16</v>
      </c>
      <c r="C1056" t="s">
        <v>26</v>
      </c>
      <c r="D1056" t="str">
        <f>IFERROR(INDEX(Sheet2!$B$2:$B$1132,MATCH(Sheet1!C1056,Sheet1!$C$2:$C$1132,0)),"IDK")</f>
        <v>FINANCE</v>
      </c>
      <c r="E1056" t="s">
        <v>51</v>
      </c>
      <c r="F1056" t="s">
        <v>52</v>
      </c>
      <c r="G1056" s="1">
        <v>45516</v>
      </c>
      <c r="H1056" t="s">
        <v>55</v>
      </c>
      <c r="I1056" s="2" t="s">
        <v>86</v>
      </c>
      <c r="J1056" s="2" t="s">
        <v>87</v>
      </c>
      <c r="K1056">
        <f>IFERROR(INDEX(Sheet2!$C$2:$C$1132,MATCH(Sheet1!C1056,Sheet1!$C$2:$C$1132,0)),"")</f>
        <v>35000</v>
      </c>
      <c r="L1056">
        <f>IFERROR(INDEX(Sheet2!$D$2:$D$1132,MATCH(Sheet1!C1056,$C$2:$C$1132,0)),"")</f>
        <v>75000</v>
      </c>
      <c r="M1056" t="str">
        <f>IFERROR(INDEX($M$2:$M$1132,MATCH(B1056,$B$2:$B$1132,0)),"")</f>
        <v>PYTHON, MACHINE LEARNING,PANDAS, NUMPY</v>
      </c>
      <c r="N1056" t="s">
        <v>74</v>
      </c>
      <c r="O1056" t="s">
        <v>79</v>
      </c>
    </row>
    <row r="1057" spans="1:15" x14ac:dyDescent="0.25">
      <c r="A1057">
        <v>18905</v>
      </c>
      <c r="B1057" t="s">
        <v>17</v>
      </c>
      <c r="C1057" t="s">
        <v>27</v>
      </c>
      <c r="D1057" t="str">
        <f>IFERROR(INDEX(Sheet2!$B$2:$B$1132,MATCH(Sheet1!C1057,Sheet1!$C$2:$C$1132,0)),"IDK")</f>
        <v>IT</v>
      </c>
      <c r="E1057" t="s">
        <v>51</v>
      </c>
      <c r="F1057" t="s">
        <v>52</v>
      </c>
      <c r="G1057" s="1">
        <v>45549</v>
      </c>
      <c r="H1057" t="s">
        <v>55</v>
      </c>
      <c r="I1057" s="2" t="s">
        <v>82</v>
      </c>
      <c r="J1057" s="2" t="s">
        <v>83</v>
      </c>
      <c r="K1057">
        <f>IFERROR(INDEX(Sheet2!$C$2:$C$1132,MATCH(Sheet1!C1057,Sheet1!$C$2:$C$1132,0)),"")</f>
        <v>40000</v>
      </c>
      <c r="L1057">
        <f>IFERROR(INDEX(Sheet2!$D$2:$D$1132,MATCH(Sheet1!C1057,$C$2:$C$1132,0)),"")</f>
        <v>80000</v>
      </c>
      <c r="M1057" t="str">
        <f>IFERROR(INDEX($M$2:$M$1132,MATCH(B1057,$B$2:$B$1132,0)),"")</f>
        <v>EXCEL, SQL, TABLEAU, BUSINESS ANALYSIS</v>
      </c>
      <c r="N1057" t="s">
        <v>74</v>
      </c>
      <c r="O1057" t="s">
        <v>79</v>
      </c>
    </row>
    <row r="1058" spans="1:15" x14ac:dyDescent="0.25">
      <c r="A1058">
        <v>18906</v>
      </c>
      <c r="B1058" t="s">
        <v>18</v>
      </c>
      <c r="C1058" t="s">
        <v>28</v>
      </c>
      <c r="D1058" t="str">
        <f>IFERROR(INDEX(Sheet2!$B$2:$B$1132,MATCH(Sheet1!C1058,Sheet1!$C$2:$C$1132,0)),"IDK")</f>
        <v>IT</v>
      </c>
      <c r="E1058" t="s">
        <v>51</v>
      </c>
      <c r="F1058" t="s">
        <v>52</v>
      </c>
      <c r="G1058" s="1">
        <v>45355</v>
      </c>
      <c r="H1058" t="s">
        <v>55</v>
      </c>
      <c r="I1058" s="2" t="s">
        <v>82</v>
      </c>
      <c r="J1058" s="2" t="s">
        <v>84</v>
      </c>
      <c r="K1058">
        <f>IFERROR(INDEX(Sheet2!$C$2:$C$1132,MATCH(Sheet1!C1058,Sheet1!$C$2:$C$1132,0)),"")</f>
        <v>30000</v>
      </c>
      <c r="L1058">
        <f>IFERROR(INDEX(Sheet2!$D$2:$D$1132,MATCH(Sheet1!C1058,$C$2:$C$1132,0)),"")</f>
        <v>55000</v>
      </c>
      <c r="M1058" t="str">
        <f>IFERROR(INDEX($M$2:$M$1132,MATCH(B1058,$B$2:$B$1132,0)),"")</f>
        <v>EXCEL, SQL, FINANCIAL MODELLING, BUDGETING</v>
      </c>
      <c r="N1058" t="s">
        <v>74</v>
      </c>
      <c r="O1058" t="s">
        <v>79</v>
      </c>
    </row>
    <row r="1059" spans="1:15" x14ac:dyDescent="0.25">
      <c r="A1059">
        <v>18907</v>
      </c>
      <c r="B1059" t="s">
        <v>19</v>
      </c>
      <c r="C1059" t="s">
        <v>29</v>
      </c>
      <c r="D1059" t="str">
        <f>IFERROR(INDEX(Sheet2!$B$2:$B$1132,MATCH(Sheet1!C1059,Sheet1!$C$2:$C$1132,0)),"IDK")</f>
        <v>IT</v>
      </c>
      <c r="E1059" t="s">
        <v>51</v>
      </c>
      <c r="F1059" t="s">
        <v>52</v>
      </c>
      <c r="G1059" s="1">
        <v>45364</v>
      </c>
      <c r="H1059" t="s">
        <v>55</v>
      </c>
      <c r="I1059" s="2" t="s">
        <v>82</v>
      </c>
      <c r="J1059" s="2" t="s">
        <v>85</v>
      </c>
      <c r="K1059">
        <f>IFERROR(INDEX(Sheet2!$C$2:$C$1132,MATCH(Sheet1!C1059,Sheet1!$C$2:$C$1132,0)),"")</f>
        <v>35000</v>
      </c>
      <c r="L1059">
        <f>IFERROR(INDEX(Sheet2!$D$2:$D$1132,MATCH(Sheet1!C1059,$C$2:$C$1132,0)),"")</f>
        <v>70000</v>
      </c>
      <c r="M1059" t="str">
        <f>IFERROR(INDEX($M$2:$M$1132,MATCH(B1059,$B$2:$B$1132,0)),"")</f>
        <v>NETWORK SECURITY, ETHICAL HACKING, RISK ASSESSMENT</v>
      </c>
      <c r="N1059" t="s">
        <v>75</v>
      </c>
      <c r="O1059" t="s">
        <v>79</v>
      </c>
    </row>
    <row r="1060" spans="1:15" x14ac:dyDescent="0.25">
      <c r="A1060">
        <v>18908</v>
      </c>
      <c r="B1060" t="s">
        <v>20</v>
      </c>
      <c r="C1060" t="s">
        <v>23</v>
      </c>
      <c r="D1060" t="str">
        <f>IFERROR(INDEX(Sheet2!$B$2:$B$1132,MATCH(Sheet1!C1060,Sheet1!$C$2:$C$1132,0)),"IDK")</f>
        <v>IT</v>
      </c>
      <c r="E1060" t="s">
        <v>51</v>
      </c>
      <c r="F1060" t="s">
        <v>52</v>
      </c>
      <c r="G1060" s="1">
        <v>45591</v>
      </c>
      <c r="H1060" t="s">
        <v>55</v>
      </c>
      <c r="I1060" s="2" t="s">
        <v>86</v>
      </c>
      <c r="J1060" s="2" t="s">
        <v>87</v>
      </c>
      <c r="K1060">
        <f>IFERROR(INDEX(Sheet2!$C$2:$C$1132,MATCH(Sheet1!C1060,Sheet1!$C$2:$C$1132,0)),"")</f>
        <v>35000</v>
      </c>
      <c r="L1060">
        <f>IFERROR(INDEX(Sheet2!$D$2:$D$1132,MATCH(Sheet1!C1060,$C$2:$C$1132,0)),"")</f>
        <v>70000</v>
      </c>
      <c r="M1060" t="str">
        <f>IFERROR(INDEX($M$2:$M$1132,MATCH(B1060,$B$2:$B$1132,0)),"")</f>
        <v>CLOUD, NETWORK, MACHINE LEARNING</v>
      </c>
      <c r="N1060" t="s">
        <v>75</v>
      </c>
      <c r="O1060" t="s">
        <v>79</v>
      </c>
    </row>
    <row r="1061" spans="1:15" x14ac:dyDescent="0.25">
      <c r="A1061">
        <v>18909</v>
      </c>
      <c r="B1061" t="s">
        <v>21</v>
      </c>
      <c r="C1061" t="s">
        <v>30</v>
      </c>
      <c r="D1061" t="str">
        <f>IFERROR(INDEX(Sheet2!$B$2:$B$1132,MATCH(Sheet1!C1061,Sheet1!$C$2:$C$1132,0)),"IDK")</f>
        <v>IT</v>
      </c>
      <c r="E1061" t="s">
        <v>51</v>
      </c>
      <c r="F1061" t="s">
        <v>52</v>
      </c>
      <c r="G1061" s="1">
        <v>45386</v>
      </c>
      <c r="H1061" t="s">
        <v>55</v>
      </c>
      <c r="I1061" s="2" t="s">
        <v>88</v>
      </c>
      <c r="J1061" s="2" t="s">
        <v>89</v>
      </c>
      <c r="K1061">
        <f>IFERROR(INDEX(Sheet2!$C$2:$C$1132,MATCH(Sheet1!C1061,Sheet1!$C$2:$C$1132,0)),"")</f>
        <v>25000</v>
      </c>
      <c r="L1061">
        <f>IFERROR(INDEX(Sheet2!$D$2:$D$1132,MATCH(Sheet1!C1061,$C$2:$C$1132,0)),"")</f>
        <v>60000</v>
      </c>
      <c r="M1061" t="str">
        <f>IFERROR(INDEX($M$2:$M$1132,MATCH(B1061,$B$2:$B$1132,0)),"")</f>
        <v>RISK ANALYSIS, DATA ANALYSIS, EXCEL, STATISTICS</v>
      </c>
      <c r="N1061" t="s">
        <v>75</v>
      </c>
      <c r="O1061" t="s">
        <v>79</v>
      </c>
    </row>
    <row r="1062" spans="1:15" x14ac:dyDescent="0.25">
      <c r="A1062">
        <v>18910</v>
      </c>
      <c r="B1062" t="s">
        <v>22</v>
      </c>
      <c r="C1062" t="s">
        <v>31</v>
      </c>
      <c r="D1062" t="str">
        <f>IFERROR(INDEX(Sheet2!$B$2:$B$1132,MATCH(Sheet1!C1062,Sheet1!$C$2:$C$1132,0)),"IDK")</f>
        <v>IT</v>
      </c>
      <c r="E1062" t="s">
        <v>51</v>
      </c>
      <c r="F1062" t="s">
        <v>52</v>
      </c>
      <c r="G1062" s="1">
        <v>45616</v>
      </c>
      <c r="H1062" t="s">
        <v>55</v>
      </c>
      <c r="I1062" s="2" t="s">
        <v>88</v>
      </c>
      <c r="J1062" s="2" t="s">
        <v>90</v>
      </c>
      <c r="K1062">
        <f>IFERROR(INDEX(Sheet2!$C$2:$C$1132,MATCH(Sheet1!C1062,Sheet1!$C$2:$C$1132,0)),"")</f>
        <v>25000</v>
      </c>
      <c r="L1062">
        <f>IFERROR(INDEX(Sheet2!$D$2:$D$1132,MATCH(Sheet1!C1062,$C$2:$C$1132,0)),"")</f>
        <v>75000</v>
      </c>
      <c r="M1062" t="str">
        <f>IFERROR(INDEX($M$2:$M$1132,MATCH(B1062,$B$2:$B$1132,0)),"")</f>
        <v>GOOGLE ANALYTICS, SEO, SOCIAL MEDIA ANALYTICS, EXCEL</v>
      </c>
      <c r="N1062" t="s">
        <v>76</v>
      </c>
      <c r="O1062" t="s">
        <v>79</v>
      </c>
    </row>
    <row r="1063" spans="1:15" x14ac:dyDescent="0.25">
      <c r="A1063">
        <v>18911</v>
      </c>
      <c r="B1063" t="s">
        <v>14</v>
      </c>
      <c r="C1063" t="s">
        <v>32</v>
      </c>
      <c r="D1063" t="str">
        <f>IFERROR(INDEX(Sheet2!$B$2:$B$1132,MATCH(Sheet1!C1063,Sheet1!$C$2:$C$1132,0)),"IDK")</f>
        <v>SOCIAL</v>
      </c>
      <c r="E1063" t="s">
        <v>51</v>
      </c>
      <c r="F1063" t="s">
        <v>52</v>
      </c>
      <c r="G1063" s="1">
        <v>45351</v>
      </c>
      <c r="H1063" t="s">
        <v>55</v>
      </c>
      <c r="I1063" s="2" t="s">
        <v>88</v>
      </c>
      <c r="J1063" s="2" t="s">
        <v>91</v>
      </c>
      <c r="K1063">
        <f>IFERROR(INDEX(Sheet2!$C$2:$C$1132,MATCH(Sheet1!C1063,Sheet1!$C$2:$C$1132,0)),"")</f>
        <v>20000</v>
      </c>
      <c r="L1063">
        <f>IFERROR(INDEX(Sheet2!$D$2:$D$1132,MATCH(Sheet1!C1063,$C$2:$C$1132,0)),"")</f>
        <v>70000</v>
      </c>
      <c r="M1063" t="str">
        <f>IFERROR(INDEX($M$2:$M$1132,MATCH(B1063,$B$2:$B$1132,0)),"")</f>
        <v>SQL, EXCEL, POWERBI, TABLEAU</v>
      </c>
      <c r="N1063" t="s">
        <v>76</v>
      </c>
      <c r="O1063" t="s">
        <v>79</v>
      </c>
    </row>
    <row r="1064" spans="1:15" x14ac:dyDescent="0.25">
      <c r="A1064">
        <v>18912</v>
      </c>
      <c r="B1064" t="s">
        <v>15</v>
      </c>
      <c r="C1064" t="s">
        <v>33</v>
      </c>
      <c r="D1064" t="str">
        <f>IFERROR(INDEX(Sheet2!$B$2:$B$1132,MATCH(Sheet1!C1064,Sheet1!$C$2:$C$1132,0)),"IDK")</f>
        <v>FINANCE</v>
      </c>
      <c r="E1064" t="s">
        <v>51</v>
      </c>
      <c r="F1064" t="s">
        <v>52</v>
      </c>
      <c r="G1064" s="1">
        <v>45451</v>
      </c>
      <c r="H1064" t="s">
        <v>55</v>
      </c>
      <c r="I1064" s="2" t="s">
        <v>82</v>
      </c>
      <c r="J1064" s="2" t="s">
        <v>83</v>
      </c>
      <c r="K1064">
        <f>IFERROR(INDEX(Sheet2!$C$2:$C$1132,MATCH(Sheet1!C1064,Sheet1!$C$2:$C$1132,0)),"")</f>
        <v>40000</v>
      </c>
      <c r="L1064">
        <f>IFERROR(INDEX(Sheet2!$D$2:$D$1132,MATCH(Sheet1!C1064,$C$2:$C$1132,0)),"")</f>
        <v>85000</v>
      </c>
      <c r="M1064" t="str">
        <f>IFERROR(INDEX($M$2:$M$1132,MATCH(B1064,$B$2:$B$1132,0)),"")</f>
        <v>SQL, PYTHON, AWS, SPARK, ETL</v>
      </c>
      <c r="N1064" t="s">
        <v>76</v>
      </c>
      <c r="O1064" t="s">
        <v>79</v>
      </c>
    </row>
    <row r="1065" spans="1:15" x14ac:dyDescent="0.25">
      <c r="A1065">
        <v>18913</v>
      </c>
      <c r="B1065" t="s">
        <v>16</v>
      </c>
      <c r="C1065" t="s">
        <v>34</v>
      </c>
      <c r="D1065" t="str">
        <f>IFERROR(INDEX(Sheet2!$B$2:$B$1132,MATCH(Sheet1!C1065,Sheet1!$C$2:$C$1132,0)),"IDK")</f>
        <v>IT</v>
      </c>
      <c r="E1065" t="s">
        <v>51</v>
      </c>
      <c r="F1065" t="s">
        <v>52</v>
      </c>
      <c r="G1065" s="1">
        <v>45332</v>
      </c>
      <c r="H1065" t="s">
        <v>55</v>
      </c>
      <c r="I1065" s="2" t="s">
        <v>82</v>
      </c>
      <c r="J1065" s="2" t="s">
        <v>84</v>
      </c>
      <c r="K1065">
        <f>IFERROR(INDEX(Sheet2!$C$2:$C$1132,MATCH(Sheet1!C1065,Sheet1!$C$2:$C$1132,0)),"")</f>
        <v>35000</v>
      </c>
      <c r="L1065">
        <f>IFERROR(INDEX(Sheet2!$D$2:$D$1132,MATCH(Sheet1!C1065,$C$2:$C$1132,0)),"")</f>
        <v>90000</v>
      </c>
      <c r="M1065" t="str">
        <f>IFERROR(INDEX($M$2:$M$1132,MATCH(B1065,$B$2:$B$1132,0)),"")</f>
        <v>PYTHON, MACHINE LEARNING,PANDAS, NUMPY</v>
      </c>
      <c r="N1065" t="s">
        <v>74</v>
      </c>
      <c r="O1065" t="s">
        <v>79</v>
      </c>
    </row>
    <row r="1066" spans="1:15" x14ac:dyDescent="0.25">
      <c r="A1066">
        <v>18914</v>
      </c>
      <c r="B1066" t="s">
        <v>17</v>
      </c>
      <c r="C1066" t="s">
        <v>35</v>
      </c>
      <c r="D1066" t="str">
        <f>IFERROR(INDEX(Sheet2!$B$2:$B$1132,MATCH(Sheet1!C1066,Sheet1!$C$2:$C$1132,0)),"IDK")</f>
        <v>SOCIAL</v>
      </c>
      <c r="E1066" t="s">
        <v>51</v>
      </c>
      <c r="F1066" t="s">
        <v>52</v>
      </c>
      <c r="G1066" s="1">
        <v>45370</v>
      </c>
      <c r="H1066" t="s">
        <v>55</v>
      </c>
      <c r="I1066" s="2" t="s">
        <v>82</v>
      </c>
      <c r="J1066" s="2" t="s">
        <v>85</v>
      </c>
      <c r="K1066">
        <f>IFERROR(INDEX(Sheet2!$C$2:$C$1132,MATCH(Sheet1!C1066,Sheet1!$C$2:$C$1132,0)),"")</f>
        <v>30000</v>
      </c>
      <c r="L1066">
        <f>IFERROR(INDEX(Sheet2!$D$2:$D$1132,MATCH(Sheet1!C1066,$C$2:$C$1132,0)),"")</f>
        <v>95000</v>
      </c>
      <c r="M1066" t="str">
        <f>IFERROR(INDEX($M$2:$M$1132,MATCH(B1066,$B$2:$B$1132,0)),"")</f>
        <v>EXCEL, SQL, TABLEAU, BUSINESS ANALYSIS</v>
      </c>
      <c r="N1066" t="s">
        <v>74</v>
      </c>
      <c r="O1066" t="s">
        <v>79</v>
      </c>
    </row>
    <row r="1067" spans="1:15" x14ac:dyDescent="0.25">
      <c r="A1067">
        <v>18915</v>
      </c>
      <c r="B1067" t="s">
        <v>18</v>
      </c>
      <c r="C1067" t="s">
        <v>36</v>
      </c>
      <c r="D1067" t="str">
        <f>IFERROR(INDEX(Sheet2!$B$2:$B$1132,MATCH(Sheet1!C1067,Sheet1!$C$2:$C$1132,0)),"IDK")</f>
        <v>IT</v>
      </c>
      <c r="E1067" t="s">
        <v>51</v>
      </c>
      <c r="F1067" t="s">
        <v>52</v>
      </c>
      <c r="G1067" s="1">
        <v>45530</v>
      </c>
      <c r="H1067" t="s">
        <v>55</v>
      </c>
      <c r="I1067" s="2" t="s">
        <v>86</v>
      </c>
      <c r="J1067" s="2" t="s">
        <v>87</v>
      </c>
      <c r="K1067">
        <f>IFERROR(INDEX(Sheet2!$C$2:$C$1132,MATCH(Sheet1!C1067,Sheet1!$C$2:$C$1132,0)),"")</f>
        <v>50000</v>
      </c>
      <c r="L1067">
        <f>IFERROR(INDEX(Sheet2!$D$2:$D$1132,MATCH(Sheet1!C1067,$C$2:$C$1132,0)),"")</f>
        <v>100000</v>
      </c>
      <c r="M1067" t="str">
        <f>IFERROR(INDEX($M$2:$M$1132,MATCH(B1067,$B$2:$B$1132,0)),"")</f>
        <v>EXCEL, SQL, FINANCIAL MODELLING, BUDGETING</v>
      </c>
      <c r="N1067" t="s">
        <v>74</v>
      </c>
      <c r="O1067" t="s">
        <v>79</v>
      </c>
    </row>
    <row r="1068" spans="1:15" x14ac:dyDescent="0.25">
      <c r="A1068">
        <v>18916</v>
      </c>
      <c r="B1068" t="s">
        <v>19</v>
      </c>
      <c r="C1068" t="s">
        <v>27</v>
      </c>
      <c r="D1068" t="str">
        <f>IFERROR(INDEX(Sheet2!$B$2:$B$1132,MATCH(Sheet1!C1068,Sheet1!$C$2:$C$1132,0)),"IDK")</f>
        <v>IT</v>
      </c>
      <c r="E1068" t="s">
        <v>51</v>
      </c>
      <c r="F1068" t="s">
        <v>52</v>
      </c>
      <c r="G1068" s="1">
        <v>45502</v>
      </c>
      <c r="H1068" t="s">
        <v>55</v>
      </c>
      <c r="I1068" s="2" t="s">
        <v>88</v>
      </c>
      <c r="J1068" s="2" t="s">
        <v>89</v>
      </c>
      <c r="K1068">
        <f>IFERROR(INDEX(Sheet2!$C$2:$C$1132,MATCH(Sheet1!C1068,Sheet1!$C$2:$C$1132,0)),"")</f>
        <v>40000</v>
      </c>
      <c r="L1068">
        <f>IFERROR(INDEX(Sheet2!$D$2:$D$1132,MATCH(Sheet1!C1068,$C$2:$C$1132,0)),"")</f>
        <v>80000</v>
      </c>
      <c r="M1068" t="str">
        <f>IFERROR(INDEX($M$2:$M$1132,MATCH(B1068,$B$2:$B$1132,0)),"")</f>
        <v>NETWORK SECURITY, ETHICAL HACKING, RISK ASSESSMENT</v>
      </c>
      <c r="N1068" t="s">
        <v>75</v>
      </c>
      <c r="O1068" t="s">
        <v>79</v>
      </c>
    </row>
    <row r="1069" spans="1:15" x14ac:dyDescent="0.25">
      <c r="A1069">
        <v>18917</v>
      </c>
      <c r="B1069" t="s">
        <v>20</v>
      </c>
      <c r="C1069" t="s">
        <v>28</v>
      </c>
      <c r="D1069" t="str">
        <f>IFERROR(INDEX(Sheet2!$B$2:$B$1132,MATCH(Sheet1!C1069,Sheet1!$C$2:$C$1132,0)),"IDK")</f>
        <v>IT</v>
      </c>
      <c r="E1069" t="s">
        <v>51</v>
      </c>
      <c r="F1069" t="s">
        <v>52</v>
      </c>
      <c r="G1069" s="1">
        <v>45346</v>
      </c>
      <c r="H1069" t="s">
        <v>55</v>
      </c>
      <c r="I1069" s="2" t="s">
        <v>92</v>
      </c>
      <c r="J1069" s="2" t="s">
        <v>93</v>
      </c>
      <c r="K1069">
        <f>IFERROR(INDEX(Sheet2!$C$2:$C$1132,MATCH(Sheet1!C1069,Sheet1!$C$2:$C$1132,0)),"")</f>
        <v>30000</v>
      </c>
      <c r="L1069">
        <f>IFERROR(INDEX(Sheet2!$D$2:$D$1132,MATCH(Sheet1!C1069,$C$2:$C$1132,0)),"")</f>
        <v>55000</v>
      </c>
      <c r="M1069" t="str">
        <f>IFERROR(INDEX($M$2:$M$1132,MATCH(B1069,$B$2:$B$1132,0)),"")</f>
        <v>CLOUD, NETWORK, MACHINE LEARNING</v>
      </c>
      <c r="N1069" t="s">
        <v>75</v>
      </c>
      <c r="O1069" t="s">
        <v>79</v>
      </c>
    </row>
    <row r="1070" spans="1:15" x14ac:dyDescent="0.25">
      <c r="A1070">
        <v>18918</v>
      </c>
      <c r="B1070" t="s">
        <v>21</v>
      </c>
      <c r="C1070" t="s">
        <v>29</v>
      </c>
      <c r="D1070" t="str">
        <f>IFERROR(INDEX(Sheet2!$B$2:$B$1132,MATCH(Sheet1!C1070,Sheet1!$C$2:$C$1132,0)),"IDK")</f>
        <v>IT</v>
      </c>
      <c r="E1070" t="s">
        <v>51</v>
      </c>
      <c r="F1070" t="s">
        <v>52</v>
      </c>
      <c r="G1070" s="1">
        <v>45455</v>
      </c>
      <c r="H1070" t="s">
        <v>55</v>
      </c>
      <c r="I1070" s="2" t="s">
        <v>94</v>
      </c>
      <c r="J1070" s="2" t="s">
        <v>95</v>
      </c>
      <c r="K1070">
        <f>IFERROR(INDEX(Sheet2!$C$2:$C$1132,MATCH(Sheet1!C1070,Sheet1!$C$2:$C$1132,0)),"")</f>
        <v>35000</v>
      </c>
      <c r="L1070">
        <f>IFERROR(INDEX(Sheet2!$D$2:$D$1132,MATCH(Sheet1!C1070,$C$2:$C$1132,0)),"")</f>
        <v>70000</v>
      </c>
      <c r="M1070" t="str">
        <f>IFERROR(INDEX($M$2:$M$1132,MATCH(B1070,$B$2:$B$1132,0)),"")</f>
        <v>RISK ANALYSIS, DATA ANALYSIS, EXCEL, STATISTICS</v>
      </c>
      <c r="N1070" t="s">
        <v>75</v>
      </c>
      <c r="O1070" t="s">
        <v>79</v>
      </c>
    </row>
    <row r="1071" spans="1:15" x14ac:dyDescent="0.25">
      <c r="A1071">
        <v>18919</v>
      </c>
      <c r="B1071" t="s">
        <v>22</v>
      </c>
      <c r="C1071" t="s">
        <v>23</v>
      </c>
      <c r="D1071" t="str">
        <f>IFERROR(INDEX(Sheet2!$B$2:$B$1132,MATCH(Sheet1!C1071,Sheet1!$C$2:$C$1132,0)),"IDK")</f>
        <v>IT</v>
      </c>
      <c r="E1071" t="s">
        <v>51</v>
      </c>
      <c r="F1071" t="s">
        <v>52</v>
      </c>
      <c r="G1071" s="1">
        <v>45389</v>
      </c>
      <c r="H1071" t="s">
        <v>55</v>
      </c>
      <c r="I1071" s="2" t="s">
        <v>96</v>
      </c>
      <c r="J1071" s="2" t="s">
        <v>97</v>
      </c>
      <c r="K1071">
        <f>IFERROR(INDEX(Sheet2!$C$2:$C$1132,MATCH(Sheet1!C1071,Sheet1!$C$2:$C$1132,0)),"")</f>
        <v>35000</v>
      </c>
      <c r="L1071">
        <f>IFERROR(INDEX(Sheet2!$D$2:$D$1132,MATCH(Sheet1!C1071,$C$2:$C$1132,0)),"")</f>
        <v>70000</v>
      </c>
      <c r="M1071" t="str">
        <f>IFERROR(INDEX($M$2:$M$1132,MATCH(B1071,$B$2:$B$1132,0)),"")</f>
        <v>GOOGLE ANALYTICS, SEO, SOCIAL MEDIA ANALYTICS, EXCEL</v>
      </c>
      <c r="N1071" t="s">
        <v>76</v>
      </c>
      <c r="O1071" t="s">
        <v>79</v>
      </c>
    </row>
    <row r="1072" spans="1:15" x14ac:dyDescent="0.25">
      <c r="A1072">
        <v>18920</v>
      </c>
      <c r="B1072" t="s">
        <v>14</v>
      </c>
      <c r="C1072" t="s">
        <v>30</v>
      </c>
      <c r="D1072" t="str">
        <f>IFERROR(INDEX(Sheet2!$B$2:$B$1132,MATCH(Sheet1!C1072,Sheet1!$C$2:$C$1132,0)),"IDK")</f>
        <v>IT</v>
      </c>
      <c r="E1072" t="s">
        <v>51</v>
      </c>
      <c r="F1072" t="s">
        <v>52</v>
      </c>
      <c r="G1072" s="1">
        <v>45305</v>
      </c>
      <c r="H1072" t="s">
        <v>55</v>
      </c>
      <c r="I1072" s="2" t="s">
        <v>98</v>
      </c>
      <c r="J1072" s="2" t="s">
        <v>99</v>
      </c>
      <c r="K1072">
        <f>IFERROR(INDEX(Sheet2!$C$2:$C$1132,MATCH(Sheet1!C1072,Sheet1!$C$2:$C$1132,0)),"")</f>
        <v>25000</v>
      </c>
      <c r="L1072">
        <f>IFERROR(INDEX(Sheet2!$D$2:$D$1132,MATCH(Sheet1!C1072,$C$2:$C$1132,0)),"")</f>
        <v>60000</v>
      </c>
      <c r="M1072" t="str">
        <f>IFERROR(INDEX($M$2:$M$1132,MATCH(B1072,$B$2:$B$1132,0)),"")</f>
        <v>SQL, EXCEL, POWERBI, TABLEAU</v>
      </c>
      <c r="N1072" t="s">
        <v>76</v>
      </c>
      <c r="O1072" t="s">
        <v>79</v>
      </c>
    </row>
    <row r="1073" spans="1:15" x14ac:dyDescent="0.25">
      <c r="A1073">
        <v>18921</v>
      </c>
      <c r="B1073" t="s">
        <v>15</v>
      </c>
      <c r="C1073" t="s">
        <v>31</v>
      </c>
      <c r="D1073" t="str">
        <f>IFERROR(INDEX(Sheet2!$B$2:$B$1132,MATCH(Sheet1!C1073,Sheet1!$C$2:$C$1132,0)),"IDK")</f>
        <v>IT</v>
      </c>
      <c r="E1073" t="s">
        <v>51</v>
      </c>
      <c r="F1073" t="s">
        <v>52</v>
      </c>
      <c r="G1073" s="1">
        <v>45342</v>
      </c>
      <c r="H1073" t="s">
        <v>55</v>
      </c>
      <c r="I1073" s="2" t="s">
        <v>100</v>
      </c>
      <c r="J1073" s="2" t="s">
        <v>101</v>
      </c>
      <c r="K1073">
        <f>IFERROR(INDEX(Sheet2!$C$2:$C$1132,MATCH(Sheet1!C1073,Sheet1!$C$2:$C$1132,0)),"")</f>
        <v>25000</v>
      </c>
      <c r="L1073">
        <f>IFERROR(INDEX(Sheet2!$D$2:$D$1132,MATCH(Sheet1!C1073,$C$2:$C$1132,0)),"")</f>
        <v>75000</v>
      </c>
      <c r="M1073" t="str">
        <f>IFERROR(INDEX($M$2:$M$1132,MATCH(B1073,$B$2:$B$1132,0)),"")</f>
        <v>SQL, PYTHON, AWS, SPARK, ETL</v>
      </c>
      <c r="N1073" t="s">
        <v>76</v>
      </c>
      <c r="O1073" t="s">
        <v>79</v>
      </c>
    </row>
    <row r="1074" spans="1:15" x14ac:dyDescent="0.25">
      <c r="A1074">
        <v>18922</v>
      </c>
      <c r="B1074" t="s">
        <v>16</v>
      </c>
      <c r="C1074" t="s">
        <v>32</v>
      </c>
      <c r="D1074" t="str">
        <f>IFERROR(INDEX(Sheet2!$B$2:$B$1132,MATCH(Sheet1!C1074,Sheet1!$C$2:$C$1132,0)),"IDK")</f>
        <v>SOCIAL</v>
      </c>
      <c r="E1074" t="s">
        <v>51</v>
      </c>
      <c r="F1074" t="s">
        <v>52</v>
      </c>
      <c r="G1074" s="1">
        <v>45515</v>
      </c>
      <c r="H1074" t="s">
        <v>55</v>
      </c>
      <c r="I1074" s="2" t="s">
        <v>102</v>
      </c>
      <c r="J1074" s="2" t="s">
        <v>103</v>
      </c>
      <c r="K1074">
        <f>IFERROR(INDEX(Sheet2!$C$2:$C$1132,MATCH(Sheet1!C1074,Sheet1!$C$2:$C$1132,0)),"")</f>
        <v>20000</v>
      </c>
      <c r="L1074">
        <f>IFERROR(INDEX(Sheet2!$D$2:$D$1132,MATCH(Sheet1!C1074,$C$2:$C$1132,0)),"")</f>
        <v>70000</v>
      </c>
      <c r="M1074" t="str">
        <f>IFERROR(INDEX($M$2:$M$1132,MATCH(B1074,$B$2:$B$1132,0)),"")</f>
        <v>PYTHON, MACHINE LEARNING,PANDAS, NUMPY</v>
      </c>
      <c r="N1074" t="s">
        <v>74</v>
      </c>
      <c r="O1074" t="s">
        <v>79</v>
      </c>
    </row>
    <row r="1075" spans="1:15" x14ac:dyDescent="0.25">
      <c r="A1075">
        <v>18923</v>
      </c>
      <c r="B1075" t="s">
        <v>14</v>
      </c>
      <c r="C1075" t="s">
        <v>33</v>
      </c>
      <c r="D1075" t="str">
        <f>IFERROR(INDEX(Sheet2!$B$2:$B$1132,MATCH(Sheet1!C1075,Sheet1!$C$2:$C$1132,0)),"IDK")</f>
        <v>FINANCE</v>
      </c>
      <c r="E1075" t="s">
        <v>51</v>
      </c>
      <c r="F1075" t="s">
        <v>52</v>
      </c>
      <c r="G1075" s="1">
        <v>45297</v>
      </c>
      <c r="H1075" t="s">
        <v>55</v>
      </c>
      <c r="I1075" s="2" t="s">
        <v>104</v>
      </c>
      <c r="J1075" s="2" t="s">
        <v>105</v>
      </c>
      <c r="K1075">
        <f>IFERROR(INDEX(Sheet2!$C$2:$C$1132,MATCH(Sheet1!C1075,Sheet1!$C$2:$C$1132,0)),"")</f>
        <v>40000</v>
      </c>
      <c r="L1075">
        <f>IFERROR(INDEX(Sheet2!$D$2:$D$1132,MATCH(Sheet1!C1075,$C$2:$C$1132,0)),"")</f>
        <v>85000</v>
      </c>
      <c r="M1075" t="str">
        <f>IFERROR(INDEX($M$2:$M$1132,MATCH(B1075,$B$2:$B$1132,0)),"")</f>
        <v>SQL, EXCEL, POWERBI, TABLEAU</v>
      </c>
      <c r="N1075" t="s">
        <v>74</v>
      </c>
      <c r="O1075" t="s">
        <v>79</v>
      </c>
    </row>
    <row r="1076" spans="1:15" x14ac:dyDescent="0.25">
      <c r="A1076">
        <v>18924</v>
      </c>
      <c r="B1076" t="s">
        <v>15</v>
      </c>
      <c r="C1076" t="s">
        <v>23</v>
      </c>
      <c r="D1076" t="str">
        <f>IFERROR(INDEX(Sheet2!$B$2:$B$1132,MATCH(Sheet1!C1076,Sheet1!$C$2:$C$1132,0)),"IDK")</f>
        <v>IT</v>
      </c>
      <c r="E1076" t="s">
        <v>51</v>
      </c>
      <c r="F1076" t="s">
        <v>52</v>
      </c>
      <c r="G1076" s="1">
        <v>45541</v>
      </c>
      <c r="H1076" t="s">
        <v>55</v>
      </c>
      <c r="I1076" s="2" t="s">
        <v>88</v>
      </c>
      <c r="J1076" s="2" t="s">
        <v>90</v>
      </c>
      <c r="K1076">
        <f>IFERROR(INDEX(Sheet2!$C$2:$C$1132,MATCH(Sheet1!C1076,Sheet1!$C$2:$C$1132,0)),"")</f>
        <v>35000</v>
      </c>
      <c r="L1076">
        <f>IFERROR(INDEX(Sheet2!$D$2:$D$1132,MATCH(Sheet1!C1076,$C$2:$C$1132,0)),"")</f>
        <v>70000</v>
      </c>
      <c r="M1076" t="str">
        <f>IFERROR(INDEX($M$2:$M$1132,MATCH(B1076,$B$2:$B$1132,0)),"")</f>
        <v>SQL, PYTHON, AWS, SPARK, ETL</v>
      </c>
      <c r="N1076" t="s">
        <v>74</v>
      </c>
      <c r="O1076" t="s">
        <v>79</v>
      </c>
    </row>
    <row r="1077" spans="1:15" x14ac:dyDescent="0.25">
      <c r="A1077">
        <v>18925</v>
      </c>
      <c r="B1077" t="s">
        <v>16</v>
      </c>
      <c r="C1077" t="s">
        <v>24</v>
      </c>
      <c r="D1077" t="str">
        <f>IFERROR(INDEX(Sheet2!$B$2:$B$1132,MATCH(Sheet1!C1077,Sheet1!$C$2:$C$1132,0)),"IDK")</f>
        <v>HEALTH</v>
      </c>
      <c r="E1077" t="s">
        <v>51</v>
      </c>
      <c r="F1077" t="s">
        <v>52</v>
      </c>
      <c r="G1077" s="1">
        <v>45298</v>
      </c>
      <c r="H1077" t="s">
        <v>55</v>
      </c>
      <c r="I1077" s="2" t="s">
        <v>86</v>
      </c>
      <c r="J1077" s="2" t="s">
        <v>87</v>
      </c>
      <c r="K1077">
        <f>IFERROR(INDEX(Sheet2!$C$2:$C$1132,MATCH(Sheet1!C1077,Sheet1!$C$2:$C$1132,0)),"")</f>
        <v>25000</v>
      </c>
      <c r="L1077">
        <f>IFERROR(INDEX(Sheet2!$D$2:$D$1132,MATCH(Sheet1!C1077,$C$2:$C$1132,0)),"")</f>
        <v>50000</v>
      </c>
      <c r="M1077" t="str">
        <f>IFERROR(INDEX($M$2:$M$1132,MATCH(B1077,$B$2:$B$1132,0)),"")</f>
        <v>PYTHON, MACHINE LEARNING,PANDAS, NUMPY</v>
      </c>
      <c r="N1077" t="s">
        <v>75</v>
      </c>
      <c r="O1077" t="s">
        <v>79</v>
      </c>
    </row>
    <row r="1078" spans="1:15" x14ac:dyDescent="0.25">
      <c r="A1078">
        <v>18926</v>
      </c>
      <c r="B1078" t="s">
        <v>17</v>
      </c>
      <c r="C1078" t="s">
        <v>25</v>
      </c>
      <c r="D1078" t="str">
        <f>IFERROR(INDEX(Sheet2!$B$2:$B$1132,MATCH(Sheet1!C1078,Sheet1!$C$2:$C$1132,0)),"IDK")</f>
        <v>SOCIAL</v>
      </c>
      <c r="E1078" t="s">
        <v>51</v>
      </c>
      <c r="F1078" t="s">
        <v>52</v>
      </c>
      <c r="G1078" s="1">
        <v>45386</v>
      </c>
      <c r="H1078" t="s">
        <v>55</v>
      </c>
      <c r="I1078" s="2" t="s">
        <v>102</v>
      </c>
      <c r="J1078" s="2" t="s">
        <v>103</v>
      </c>
      <c r="K1078">
        <f>IFERROR(INDEX(Sheet2!$C$2:$C$1132,MATCH(Sheet1!C1078,Sheet1!$C$2:$C$1132,0)),"")</f>
        <v>30000</v>
      </c>
      <c r="L1078">
        <f>IFERROR(INDEX(Sheet2!$D$2:$D$1132,MATCH(Sheet1!C1078,$C$2:$C$1132,0)),"")</f>
        <v>60000</v>
      </c>
      <c r="M1078" t="str">
        <f>IFERROR(INDEX($M$2:$M$1132,MATCH(B1078,$B$2:$B$1132,0)),"")</f>
        <v>EXCEL, SQL, TABLEAU, BUSINESS ANALYSIS</v>
      </c>
      <c r="N1078" t="s">
        <v>75</v>
      </c>
      <c r="O1078" t="s">
        <v>79</v>
      </c>
    </row>
    <row r="1079" spans="1:15" x14ac:dyDescent="0.25">
      <c r="A1079">
        <v>18927</v>
      </c>
      <c r="B1079" t="s">
        <v>18</v>
      </c>
      <c r="C1079" t="s">
        <v>26</v>
      </c>
      <c r="D1079" t="str">
        <f>IFERROR(INDEX(Sheet2!$B$2:$B$1132,MATCH(Sheet1!C1079,Sheet1!$C$2:$C$1132,0)),"IDK")</f>
        <v>FINANCE</v>
      </c>
      <c r="E1079" t="s">
        <v>51</v>
      </c>
      <c r="F1079" t="s">
        <v>52</v>
      </c>
      <c r="G1079" s="1">
        <v>45403</v>
      </c>
      <c r="H1079" t="s">
        <v>55</v>
      </c>
      <c r="I1079" s="2" t="s">
        <v>104</v>
      </c>
      <c r="J1079" s="2" t="s">
        <v>105</v>
      </c>
      <c r="K1079">
        <f>IFERROR(INDEX(Sheet2!$C$2:$C$1132,MATCH(Sheet1!C1079,Sheet1!$C$2:$C$1132,0)),"")</f>
        <v>35000</v>
      </c>
      <c r="L1079">
        <f>IFERROR(INDEX(Sheet2!$D$2:$D$1132,MATCH(Sheet1!C1079,$C$2:$C$1132,0)),"")</f>
        <v>75000</v>
      </c>
      <c r="M1079" t="str">
        <f>IFERROR(INDEX($M$2:$M$1132,MATCH(B1079,$B$2:$B$1132,0)),"")</f>
        <v>EXCEL, SQL, FINANCIAL MODELLING, BUDGETING</v>
      </c>
      <c r="N1079" t="s">
        <v>75</v>
      </c>
      <c r="O1079" t="s">
        <v>79</v>
      </c>
    </row>
    <row r="1080" spans="1:15" x14ac:dyDescent="0.25">
      <c r="A1080">
        <v>18928</v>
      </c>
      <c r="B1080" t="s">
        <v>19</v>
      </c>
      <c r="C1080" t="s">
        <v>27</v>
      </c>
      <c r="D1080" t="str">
        <f>IFERROR(INDEX(Sheet2!$B$2:$B$1132,MATCH(Sheet1!C1080,Sheet1!$C$2:$C$1132,0)),"IDK")</f>
        <v>IT</v>
      </c>
      <c r="E1080" t="s">
        <v>51</v>
      </c>
      <c r="F1080" t="s">
        <v>52</v>
      </c>
      <c r="G1080" s="1">
        <v>45326</v>
      </c>
      <c r="H1080" t="s">
        <v>55</v>
      </c>
      <c r="I1080" s="2" t="s">
        <v>82</v>
      </c>
      <c r="J1080" s="2" t="s">
        <v>83</v>
      </c>
      <c r="K1080">
        <f>IFERROR(INDEX(Sheet2!$C$2:$C$1132,MATCH(Sheet1!C1080,Sheet1!$C$2:$C$1132,0)),"")</f>
        <v>40000</v>
      </c>
      <c r="L1080">
        <f>IFERROR(INDEX(Sheet2!$D$2:$D$1132,MATCH(Sheet1!C1080,$C$2:$C$1132,0)),"")</f>
        <v>80000</v>
      </c>
      <c r="M1080" t="str">
        <f>IFERROR(INDEX($M$2:$M$1132,MATCH(B1080,$B$2:$B$1132,0)),"")</f>
        <v>NETWORK SECURITY, ETHICAL HACKING, RISK ASSESSMENT</v>
      </c>
      <c r="N1080" t="s">
        <v>76</v>
      </c>
      <c r="O1080" t="s">
        <v>79</v>
      </c>
    </row>
    <row r="1081" spans="1:15" x14ac:dyDescent="0.25">
      <c r="A1081">
        <v>18929</v>
      </c>
      <c r="B1081" t="s">
        <v>20</v>
      </c>
      <c r="C1081" t="s">
        <v>28</v>
      </c>
      <c r="D1081" t="str">
        <f>IFERROR(INDEX(Sheet2!$B$2:$B$1132,MATCH(Sheet1!C1081,Sheet1!$C$2:$C$1132,0)),"IDK")</f>
        <v>IT</v>
      </c>
      <c r="E1081" t="s">
        <v>51</v>
      </c>
      <c r="F1081" t="s">
        <v>52</v>
      </c>
      <c r="G1081" s="1">
        <v>45643</v>
      </c>
      <c r="H1081" t="s">
        <v>55</v>
      </c>
      <c r="I1081" s="2" t="s">
        <v>82</v>
      </c>
      <c r="J1081" s="2" t="s">
        <v>84</v>
      </c>
      <c r="K1081">
        <f>IFERROR(INDEX(Sheet2!$C$2:$C$1132,MATCH(Sheet1!C1081,Sheet1!$C$2:$C$1132,0)),"")</f>
        <v>30000</v>
      </c>
      <c r="L1081">
        <f>IFERROR(INDEX(Sheet2!$D$2:$D$1132,MATCH(Sheet1!C1081,$C$2:$C$1132,0)),"")</f>
        <v>55000</v>
      </c>
      <c r="M1081" t="str">
        <f>IFERROR(INDEX($M$2:$M$1132,MATCH(B1081,$B$2:$B$1132,0)),"")</f>
        <v>CLOUD, NETWORK, MACHINE LEARNING</v>
      </c>
      <c r="N1081" t="s">
        <v>76</v>
      </c>
      <c r="O1081" t="s">
        <v>79</v>
      </c>
    </row>
    <row r="1082" spans="1:15" x14ac:dyDescent="0.25">
      <c r="A1082">
        <v>18930</v>
      </c>
      <c r="B1082" t="s">
        <v>21</v>
      </c>
      <c r="C1082" t="s">
        <v>29</v>
      </c>
      <c r="D1082" t="str">
        <f>IFERROR(INDEX(Sheet2!$B$2:$B$1132,MATCH(Sheet1!C1082,Sheet1!$C$2:$C$1132,0)),"IDK")</f>
        <v>IT</v>
      </c>
      <c r="E1082" t="s">
        <v>51</v>
      </c>
      <c r="F1082" t="s">
        <v>52</v>
      </c>
      <c r="G1082" s="1">
        <v>45400</v>
      </c>
      <c r="H1082" t="s">
        <v>55</v>
      </c>
      <c r="I1082" s="2" t="s">
        <v>82</v>
      </c>
      <c r="J1082" s="2" t="s">
        <v>85</v>
      </c>
      <c r="K1082">
        <f>IFERROR(INDEX(Sheet2!$C$2:$C$1132,MATCH(Sheet1!C1082,Sheet1!$C$2:$C$1132,0)),"")</f>
        <v>35000</v>
      </c>
      <c r="L1082">
        <f>IFERROR(INDEX(Sheet2!$D$2:$D$1132,MATCH(Sheet1!C1082,$C$2:$C$1132,0)),"")</f>
        <v>70000</v>
      </c>
      <c r="M1082" t="str">
        <f>IFERROR(INDEX($M$2:$M$1132,MATCH(B1082,$B$2:$B$1132,0)),"")</f>
        <v>RISK ANALYSIS, DATA ANALYSIS, EXCEL, STATISTICS</v>
      </c>
      <c r="N1082" t="s">
        <v>76</v>
      </c>
      <c r="O1082" t="s">
        <v>79</v>
      </c>
    </row>
    <row r="1083" spans="1:15" x14ac:dyDescent="0.25">
      <c r="A1083">
        <v>18931</v>
      </c>
      <c r="B1083" t="s">
        <v>22</v>
      </c>
      <c r="C1083" t="s">
        <v>23</v>
      </c>
      <c r="D1083" t="str">
        <f>IFERROR(INDEX(Sheet2!$B$2:$B$1132,MATCH(Sheet1!C1083,Sheet1!$C$2:$C$1132,0)),"IDK")</f>
        <v>IT</v>
      </c>
      <c r="E1083" t="s">
        <v>51</v>
      </c>
      <c r="F1083" t="s">
        <v>52</v>
      </c>
      <c r="G1083" s="1">
        <v>45631</v>
      </c>
      <c r="H1083" t="s">
        <v>55</v>
      </c>
      <c r="I1083" s="2" t="s">
        <v>86</v>
      </c>
      <c r="J1083" s="2" t="s">
        <v>87</v>
      </c>
      <c r="K1083">
        <f>IFERROR(INDEX(Sheet2!$C$2:$C$1132,MATCH(Sheet1!C1083,Sheet1!$C$2:$C$1132,0)),"")</f>
        <v>35000</v>
      </c>
      <c r="L1083">
        <f>IFERROR(INDEX(Sheet2!$D$2:$D$1132,MATCH(Sheet1!C1083,$C$2:$C$1132,0)),"")</f>
        <v>70000</v>
      </c>
      <c r="M1083" t="str">
        <f>IFERROR(INDEX($M$2:$M$1132,MATCH(B1083,$B$2:$B$1132,0)),"")</f>
        <v>GOOGLE ANALYTICS, SEO, SOCIAL MEDIA ANALYTICS, EXCEL</v>
      </c>
      <c r="N1083" t="s">
        <v>74</v>
      </c>
      <c r="O1083" t="s">
        <v>79</v>
      </c>
    </row>
    <row r="1084" spans="1:15" x14ac:dyDescent="0.25">
      <c r="A1084">
        <v>18932</v>
      </c>
      <c r="B1084" t="s">
        <v>14</v>
      </c>
      <c r="C1084" t="s">
        <v>30</v>
      </c>
      <c r="D1084" t="str">
        <f>IFERROR(INDEX(Sheet2!$B$2:$B$1132,MATCH(Sheet1!C1084,Sheet1!$C$2:$C$1132,0)),"IDK")</f>
        <v>IT</v>
      </c>
      <c r="E1084" t="s">
        <v>51</v>
      </c>
      <c r="F1084" t="s">
        <v>52</v>
      </c>
      <c r="G1084" s="1">
        <v>45470</v>
      </c>
      <c r="H1084" t="s">
        <v>55</v>
      </c>
      <c r="I1084" s="2" t="s">
        <v>88</v>
      </c>
      <c r="J1084" s="2" t="s">
        <v>89</v>
      </c>
      <c r="K1084">
        <f>IFERROR(INDEX(Sheet2!$C$2:$C$1132,MATCH(Sheet1!C1084,Sheet1!$C$2:$C$1132,0)),"")</f>
        <v>25000</v>
      </c>
      <c r="L1084">
        <f>IFERROR(INDEX(Sheet2!$D$2:$D$1132,MATCH(Sheet1!C1084,$C$2:$C$1132,0)),"")</f>
        <v>60000</v>
      </c>
      <c r="M1084" t="str">
        <f>IFERROR(INDEX($M$2:$M$1132,MATCH(B1084,$B$2:$B$1132,0)),"")</f>
        <v>SQL, EXCEL, POWERBI, TABLEAU</v>
      </c>
      <c r="N1084" t="s">
        <v>74</v>
      </c>
      <c r="O1084" t="s">
        <v>79</v>
      </c>
    </row>
    <row r="1085" spans="1:15" x14ac:dyDescent="0.25">
      <c r="A1085">
        <v>18933</v>
      </c>
      <c r="B1085" t="s">
        <v>15</v>
      </c>
      <c r="C1085" t="s">
        <v>31</v>
      </c>
      <c r="D1085" t="str">
        <f>IFERROR(INDEX(Sheet2!$B$2:$B$1132,MATCH(Sheet1!C1085,Sheet1!$C$2:$C$1132,0)),"IDK")</f>
        <v>IT</v>
      </c>
      <c r="E1085" t="s">
        <v>51</v>
      </c>
      <c r="F1085" t="s">
        <v>52</v>
      </c>
      <c r="G1085" s="1">
        <v>45507</v>
      </c>
      <c r="H1085" t="s">
        <v>55</v>
      </c>
      <c r="I1085" s="2" t="s">
        <v>88</v>
      </c>
      <c r="J1085" s="2" t="s">
        <v>90</v>
      </c>
      <c r="K1085">
        <f>IFERROR(INDEX(Sheet2!$C$2:$C$1132,MATCH(Sheet1!C1085,Sheet1!$C$2:$C$1132,0)),"")</f>
        <v>25000</v>
      </c>
      <c r="L1085">
        <f>IFERROR(INDEX(Sheet2!$D$2:$D$1132,MATCH(Sheet1!C1085,$C$2:$C$1132,0)),"")</f>
        <v>75000</v>
      </c>
      <c r="M1085" t="str">
        <f>IFERROR(INDEX($M$2:$M$1132,MATCH(B1085,$B$2:$B$1132,0)),"")</f>
        <v>SQL, PYTHON, AWS, SPARK, ETL</v>
      </c>
      <c r="N1085" t="s">
        <v>74</v>
      </c>
      <c r="O1085" t="s">
        <v>79</v>
      </c>
    </row>
    <row r="1086" spans="1:15" x14ac:dyDescent="0.25">
      <c r="A1086">
        <v>18934</v>
      </c>
      <c r="B1086" t="s">
        <v>16</v>
      </c>
      <c r="C1086" t="s">
        <v>32</v>
      </c>
      <c r="D1086" t="str">
        <f>IFERROR(INDEX(Sheet2!$B$2:$B$1132,MATCH(Sheet1!C1086,Sheet1!$C$2:$C$1132,0)),"IDK")</f>
        <v>SOCIAL</v>
      </c>
      <c r="E1086" t="s">
        <v>51</v>
      </c>
      <c r="F1086" t="s">
        <v>52</v>
      </c>
      <c r="G1086" s="1">
        <v>45372</v>
      </c>
      <c r="H1086" t="s">
        <v>55</v>
      </c>
      <c r="I1086" s="2" t="s">
        <v>88</v>
      </c>
      <c r="J1086" s="2" t="s">
        <v>91</v>
      </c>
      <c r="K1086">
        <f>IFERROR(INDEX(Sheet2!$C$2:$C$1132,MATCH(Sheet1!C1086,Sheet1!$C$2:$C$1132,0)),"")</f>
        <v>20000</v>
      </c>
      <c r="L1086">
        <f>IFERROR(INDEX(Sheet2!$D$2:$D$1132,MATCH(Sheet1!C1086,$C$2:$C$1132,0)),"")</f>
        <v>70000</v>
      </c>
      <c r="M1086" t="str">
        <f>IFERROR(INDEX($M$2:$M$1132,MATCH(B1086,$B$2:$B$1132,0)),"")</f>
        <v>PYTHON, MACHINE LEARNING,PANDAS, NUMPY</v>
      </c>
      <c r="N1086" t="s">
        <v>75</v>
      </c>
      <c r="O1086" t="s">
        <v>79</v>
      </c>
    </row>
    <row r="1087" spans="1:15" x14ac:dyDescent="0.25">
      <c r="A1087">
        <v>18935</v>
      </c>
      <c r="B1087" t="s">
        <v>17</v>
      </c>
      <c r="C1087" t="s">
        <v>33</v>
      </c>
      <c r="D1087" t="str">
        <f>IFERROR(INDEX(Sheet2!$B$2:$B$1132,MATCH(Sheet1!C1087,Sheet1!$C$2:$C$1132,0)),"IDK")</f>
        <v>FINANCE</v>
      </c>
      <c r="E1087" t="s">
        <v>51</v>
      </c>
      <c r="F1087" t="s">
        <v>52</v>
      </c>
      <c r="G1087" s="1">
        <v>45345</v>
      </c>
      <c r="H1087" t="s">
        <v>55</v>
      </c>
      <c r="I1087" s="2" t="s">
        <v>92</v>
      </c>
      <c r="J1087" s="2" t="s">
        <v>93</v>
      </c>
      <c r="K1087">
        <f>IFERROR(INDEX(Sheet2!$C$2:$C$1132,MATCH(Sheet1!C1087,Sheet1!$C$2:$C$1132,0)),"")</f>
        <v>40000</v>
      </c>
      <c r="L1087">
        <f>IFERROR(INDEX(Sheet2!$D$2:$D$1132,MATCH(Sheet1!C1087,$C$2:$C$1132,0)),"")</f>
        <v>85000</v>
      </c>
      <c r="M1087" t="str">
        <f>IFERROR(INDEX($M$2:$M$1132,MATCH(B1087,$B$2:$B$1132,0)),"")</f>
        <v>EXCEL, SQL, TABLEAU, BUSINESS ANALYSIS</v>
      </c>
      <c r="N1087" t="s">
        <v>75</v>
      </c>
      <c r="O1087" t="s">
        <v>79</v>
      </c>
    </row>
    <row r="1088" spans="1:15" x14ac:dyDescent="0.25">
      <c r="A1088">
        <v>18936</v>
      </c>
      <c r="B1088" t="s">
        <v>18</v>
      </c>
      <c r="C1088" t="s">
        <v>34</v>
      </c>
      <c r="D1088" t="str">
        <f>IFERROR(INDEX(Sheet2!$B$2:$B$1132,MATCH(Sheet1!C1088,Sheet1!$C$2:$C$1132,0)),"IDK")</f>
        <v>IT</v>
      </c>
      <c r="E1088" t="s">
        <v>51</v>
      </c>
      <c r="F1088" t="s">
        <v>52</v>
      </c>
      <c r="G1088" s="1">
        <v>45296</v>
      </c>
      <c r="H1088" t="s">
        <v>55</v>
      </c>
      <c r="I1088" s="2" t="s">
        <v>94</v>
      </c>
      <c r="J1088" s="2" t="s">
        <v>95</v>
      </c>
      <c r="K1088">
        <f>IFERROR(INDEX(Sheet2!$C$2:$C$1132,MATCH(Sheet1!C1088,Sheet1!$C$2:$C$1132,0)),"")</f>
        <v>35000</v>
      </c>
      <c r="L1088">
        <f>IFERROR(INDEX(Sheet2!$D$2:$D$1132,MATCH(Sheet1!C1088,$C$2:$C$1132,0)),"")</f>
        <v>90000</v>
      </c>
      <c r="M1088" t="str">
        <f>IFERROR(INDEX($M$2:$M$1132,MATCH(B1088,$B$2:$B$1132,0)),"")</f>
        <v>EXCEL, SQL, FINANCIAL MODELLING, BUDGETING</v>
      </c>
      <c r="N1088" t="s">
        <v>75</v>
      </c>
      <c r="O1088" t="s">
        <v>79</v>
      </c>
    </row>
    <row r="1089" spans="1:15" x14ac:dyDescent="0.25">
      <c r="A1089">
        <v>18937</v>
      </c>
      <c r="B1089" t="s">
        <v>19</v>
      </c>
      <c r="C1089" t="s">
        <v>35</v>
      </c>
      <c r="D1089" t="str">
        <f>IFERROR(INDEX(Sheet2!$B$2:$B$1132,MATCH(Sheet1!C1089,Sheet1!$C$2:$C$1132,0)),"IDK")</f>
        <v>SOCIAL</v>
      </c>
      <c r="E1089" t="s">
        <v>51</v>
      </c>
      <c r="F1089" t="s">
        <v>52</v>
      </c>
      <c r="G1089" s="1">
        <v>45544</v>
      </c>
      <c r="H1089" t="s">
        <v>55</v>
      </c>
      <c r="I1089" s="2" t="s">
        <v>96</v>
      </c>
      <c r="J1089" s="2" t="s">
        <v>97</v>
      </c>
      <c r="K1089">
        <f>IFERROR(INDEX(Sheet2!$C$2:$C$1132,MATCH(Sheet1!C1089,Sheet1!$C$2:$C$1132,0)),"")</f>
        <v>30000</v>
      </c>
      <c r="L1089">
        <f>IFERROR(INDEX(Sheet2!$D$2:$D$1132,MATCH(Sheet1!C1089,$C$2:$C$1132,0)),"")</f>
        <v>95000</v>
      </c>
      <c r="M1089" t="str">
        <f>IFERROR(INDEX($M$2:$M$1132,MATCH(B1089,$B$2:$B$1132,0)),"")</f>
        <v>NETWORK SECURITY, ETHICAL HACKING, RISK ASSESSMENT</v>
      </c>
      <c r="N1089" t="s">
        <v>76</v>
      </c>
      <c r="O1089" t="s">
        <v>79</v>
      </c>
    </row>
    <row r="1090" spans="1:15" x14ac:dyDescent="0.25">
      <c r="A1090">
        <v>18938</v>
      </c>
      <c r="B1090" t="s">
        <v>20</v>
      </c>
      <c r="C1090" t="s">
        <v>36</v>
      </c>
      <c r="D1090" t="str">
        <f>IFERROR(INDEX(Sheet2!$B$2:$B$1132,MATCH(Sheet1!C1090,Sheet1!$C$2:$C$1132,0)),"IDK")</f>
        <v>IT</v>
      </c>
      <c r="E1090" t="s">
        <v>51</v>
      </c>
      <c r="F1090" t="s">
        <v>52</v>
      </c>
      <c r="G1090" s="1">
        <v>45312</v>
      </c>
      <c r="H1090" t="s">
        <v>55</v>
      </c>
      <c r="I1090" s="2" t="s">
        <v>98</v>
      </c>
      <c r="J1090" s="2" t="s">
        <v>99</v>
      </c>
      <c r="K1090">
        <f>IFERROR(INDEX(Sheet2!$C$2:$C$1132,MATCH(Sheet1!C1090,Sheet1!$C$2:$C$1132,0)),"")</f>
        <v>50000</v>
      </c>
      <c r="L1090">
        <f>IFERROR(INDEX(Sheet2!$D$2:$D$1132,MATCH(Sheet1!C1090,$C$2:$C$1132,0)),"")</f>
        <v>100000</v>
      </c>
      <c r="M1090" t="str">
        <f>IFERROR(INDEX($M$2:$M$1132,MATCH(B1090,$B$2:$B$1132,0)),"")</f>
        <v>CLOUD, NETWORK, MACHINE LEARNING</v>
      </c>
      <c r="N1090" t="s">
        <v>76</v>
      </c>
      <c r="O1090" t="s">
        <v>79</v>
      </c>
    </row>
    <row r="1091" spans="1:15" x14ac:dyDescent="0.25">
      <c r="A1091">
        <v>18939</v>
      </c>
      <c r="B1091" t="s">
        <v>21</v>
      </c>
      <c r="C1091" t="s">
        <v>27</v>
      </c>
      <c r="D1091" t="str">
        <f>IFERROR(INDEX(Sheet2!$B$2:$B$1132,MATCH(Sheet1!C1091,Sheet1!$C$2:$C$1132,0)),"IDK")</f>
        <v>IT</v>
      </c>
      <c r="E1091" t="s">
        <v>51</v>
      </c>
      <c r="F1091" t="s">
        <v>52</v>
      </c>
      <c r="G1091" s="1">
        <v>45319</v>
      </c>
      <c r="H1091" t="s">
        <v>55</v>
      </c>
      <c r="I1091" s="2" t="s">
        <v>100</v>
      </c>
      <c r="J1091" s="2" t="s">
        <v>101</v>
      </c>
      <c r="K1091">
        <f>IFERROR(INDEX(Sheet2!$C$2:$C$1132,MATCH(Sheet1!C1091,Sheet1!$C$2:$C$1132,0)),"")</f>
        <v>40000</v>
      </c>
      <c r="L1091">
        <f>IFERROR(INDEX(Sheet2!$D$2:$D$1132,MATCH(Sheet1!C1091,$C$2:$C$1132,0)),"")</f>
        <v>80000</v>
      </c>
      <c r="M1091" t="str">
        <f>IFERROR(INDEX($M$2:$M$1132,MATCH(B1091,$B$2:$B$1132,0)),"")</f>
        <v>RISK ANALYSIS, DATA ANALYSIS, EXCEL, STATISTICS</v>
      </c>
      <c r="N1091" t="s">
        <v>76</v>
      </c>
      <c r="O1091" t="s">
        <v>79</v>
      </c>
    </row>
    <row r="1092" spans="1:15" x14ac:dyDescent="0.25">
      <c r="A1092">
        <v>18940</v>
      </c>
      <c r="B1092" t="s">
        <v>22</v>
      </c>
      <c r="C1092" t="s">
        <v>28</v>
      </c>
      <c r="D1092" t="str">
        <f>IFERROR(INDEX(Sheet2!$B$2:$B$1132,MATCH(Sheet1!C1092,Sheet1!$C$2:$C$1132,0)),"IDK")</f>
        <v>IT</v>
      </c>
      <c r="E1092" t="s">
        <v>51</v>
      </c>
      <c r="F1092" t="s">
        <v>52</v>
      </c>
      <c r="G1092" s="1">
        <v>45653</v>
      </c>
      <c r="H1092" t="s">
        <v>55</v>
      </c>
      <c r="I1092" s="2" t="s">
        <v>102</v>
      </c>
      <c r="J1092" s="2" t="s">
        <v>103</v>
      </c>
      <c r="K1092">
        <f>IFERROR(INDEX(Sheet2!$C$2:$C$1132,MATCH(Sheet1!C1092,Sheet1!$C$2:$C$1132,0)),"")</f>
        <v>30000</v>
      </c>
      <c r="L1092">
        <f>IFERROR(INDEX(Sheet2!$D$2:$D$1132,MATCH(Sheet1!C1092,$C$2:$C$1132,0)),"")</f>
        <v>55000</v>
      </c>
      <c r="M1092" t="str">
        <f>IFERROR(INDEX($M$2:$M$1132,MATCH(B1092,$B$2:$B$1132,0)),"")</f>
        <v>GOOGLE ANALYTICS, SEO, SOCIAL MEDIA ANALYTICS, EXCEL</v>
      </c>
      <c r="N1092" t="s">
        <v>74</v>
      </c>
      <c r="O1092" t="s">
        <v>79</v>
      </c>
    </row>
    <row r="1093" spans="1:15" x14ac:dyDescent="0.25">
      <c r="A1093">
        <v>18941</v>
      </c>
      <c r="B1093" t="s">
        <v>14</v>
      </c>
      <c r="C1093" t="s">
        <v>29</v>
      </c>
      <c r="D1093" t="str">
        <f>IFERROR(INDEX(Sheet2!$B$2:$B$1132,MATCH(Sheet1!C1093,Sheet1!$C$2:$C$1132,0)),"IDK")</f>
        <v>IT</v>
      </c>
      <c r="E1093" t="s">
        <v>51</v>
      </c>
      <c r="F1093" t="s">
        <v>52</v>
      </c>
      <c r="G1093" s="1">
        <v>45574</v>
      </c>
      <c r="H1093" t="s">
        <v>55</v>
      </c>
      <c r="I1093" s="2" t="s">
        <v>104</v>
      </c>
      <c r="J1093" s="2" t="s">
        <v>105</v>
      </c>
      <c r="K1093">
        <f>IFERROR(INDEX(Sheet2!$C$2:$C$1132,MATCH(Sheet1!C1093,Sheet1!$C$2:$C$1132,0)),"")</f>
        <v>35000</v>
      </c>
      <c r="L1093">
        <f>IFERROR(INDEX(Sheet2!$D$2:$D$1132,MATCH(Sheet1!C1093,$C$2:$C$1132,0)),"")</f>
        <v>70000</v>
      </c>
      <c r="M1093" t="str">
        <f>IFERROR(INDEX($M$2:$M$1132,MATCH(B1093,$B$2:$B$1132,0)),"")</f>
        <v>SQL, EXCEL, POWERBI, TABLEAU</v>
      </c>
      <c r="N1093" t="s">
        <v>74</v>
      </c>
      <c r="O1093" t="s">
        <v>79</v>
      </c>
    </row>
    <row r="1094" spans="1:15" x14ac:dyDescent="0.25">
      <c r="A1094">
        <v>18942</v>
      </c>
      <c r="B1094" t="s">
        <v>15</v>
      </c>
      <c r="C1094" t="s">
        <v>23</v>
      </c>
      <c r="D1094" t="str">
        <f>IFERROR(INDEX(Sheet2!$B$2:$B$1132,MATCH(Sheet1!C1094,Sheet1!$C$2:$C$1132,0)),"IDK")</f>
        <v>IT</v>
      </c>
      <c r="E1094" t="s">
        <v>51</v>
      </c>
      <c r="F1094" t="s">
        <v>52</v>
      </c>
      <c r="G1094" s="1">
        <v>45599</v>
      </c>
      <c r="H1094" t="s">
        <v>55</v>
      </c>
      <c r="I1094" s="2" t="s">
        <v>88</v>
      </c>
      <c r="J1094" s="2" t="s">
        <v>90</v>
      </c>
      <c r="K1094">
        <f>IFERROR(INDEX(Sheet2!$C$2:$C$1132,MATCH(Sheet1!C1094,Sheet1!$C$2:$C$1132,0)),"")</f>
        <v>35000</v>
      </c>
      <c r="L1094">
        <f>IFERROR(INDEX(Sheet2!$D$2:$D$1132,MATCH(Sheet1!C1094,$C$2:$C$1132,0)),"")</f>
        <v>70000</v>
      </c>
      <c r="M1094" t="str">
        <f>IFERROR(INDEX($M$2:$M$1132,MATCH(B1094,$B$2:$B$1132,0)),"")</f>
        <v>SQL, PYTHON, AWS, SPARK, ETL</v>
      </c>
      <c r="N1094" t="s">
        <v>74</v>
      </c>
      <c r="O1094" t="s">
        <v>79</v>
      </c>
    </row>
    <row r="1095" spans="1:15" x14ac:dyDescent="0.25">
      <c r="A1095">
        <v>18943</v>
      </c>
      <c r="B1095" t="s">
        <v>16</v>
      </c>
      <c r="C1095" t="s">
        <v>30</v>
      </c>
      <c r="D1095" t="str">
        <f>IFERROR(INDEX(Sheet2!$B$2:$B$1132,MATCH(Sheet1!C1095,Sheet1!$C$2:$C$1132,0)),"IDK")</f>
        <v>IT</v>
      </c>
      <c r="E1095" t="s">
        <v>51</v>
      </c>
      <c r="F1095" t="s">
        <v>52</v>
      </c>
      <c r="G1095" s="1">
        <v>45300</v>
      </c>
      <c r="H1095" t="s">
        <v>55</v>
      </c>
      <c r="I1095" s="2" t="s">
        <v>86</v>
      </c>
      <c r="J1095" s="2" t="s">
        <v>87</v>
      </c>
      <c r="K1095">
        <f>IFERROR(INDEX(Sheet2!$C$2:$C$1132,MATCH(Sheet1!C1095,Sheet1!$C$2:$C$1132,0)),"")</f>
        <v>25000</v>
      </c>
      <c r="L1095">
        <f>IFERROR(INDEX(Sheet2!$D$2:$D$1132,MATCH(Sheet1!C1095,$C$2:$C$1132,0)),"")</f>
        <v>60000</v>
      </c>
      <c r="M1095" t="str">
        <f>IFERROR(INDEX($M$2:$M$1132,MATCH(B1095,$B$2:$B$1132,0)),"")</f>
        <v>PYTHON, MACHINE LEARNING,PANDAS, NUMPY</v>
      </c>
      <c r="N1095" t="s">
        <v>75</v>
      </c>
      <c r="O1095" t="s">
        <v>79</v>
      </c>
    </row>
    <row r="1096" spans="1:15" x14ac:dyDescent="0.25">
      <c r="A1096">
        <v>18944</v>
      </c>
      <c r="B1096" t="s">
        <v>17</v>
      </c>
      <c r="C1096" t="s">
        <v>31</v>
      </c>
      <c r="D1096" t="str">
        <f>IFERROR(INDEX(Sheet2!$B$2:$B$1132,MATCH(Sheet1!C1096,Sheet1!$C$2:$C$1132,0)),"IDK")</f>
        <v>IT</v>
      </c>
      <c r="E1096" t="s">
        <v>51</v>
      </c>
      <c r="F1096" t="s">
        <v>52</v>
      </c>
      <c r="G1096" s="1">
        <v>45537</v>
      </c>
      <c r="H1096" t="s">
        <v>55</v>
      </c>
      <c r="I1096" s="2" t="s">
        <v>92</v>
      </c>
      <c r="J1096" s="2" t="s">
        <v>93</v>
      </c>
      <c r="K1096">
        <f>IFERROR(INDEX(Sheet2!$C$2:$C$1132,MATCH(Sheet1!C1096,Sheet1!$C$2:$C$1132,0)),"")</f>
        <v>25000</v>
      </c>
      <c r="L1096">
        <f>IFERROR(INDEX(Sheet2!$D$2:$D$1132,MATCH(Sheet1!C1096,$C$2:$C$1132,0)),"")</f>
        <v>75000</v>
      </c>
      <c r="M1096" t="str">
        <f>IFERROR(INDEX($M$2:$M$1132,MATCH(B1096,$B$2:$B$1132,0)),"")</f>
        <v>EXCEL, SQL, TABLEAU, BUSINESS ANALYSIS</v>
      </c>
      <c r="N1096" t="s">
        <v>75</v>
      </c>
      <c r="O1096" t="s">
        <v>79</v>
      </c>
    </row>
    <row r="1097" spans="1:15" x14ac:dyDescent="0.25">
      <c r="A1097">
        <v>18945</v>
      </c>
      <c r="B1097" t="s">
        <v>18</v>
      </c>
      <c r="C1097" t="s">
        <v>32</v>
      </c>
      <c r="D1097" t="str">
        <f>IFERROR(INDEX(Sheet2!$B$2:$B$1132,MATCH(Sheet1!C1097,Sheet1!$C$2:$C$1132,0)),"IDK")</f>
        <v>SOCIAL</v>
      </c>
      <c r="E1097" t="s">
        <v>51</v>
      </c>
      <c r="F1097" t="s">
        <v>52</v>
      </c>
      <c r="G1097" s="1">
        <v>45348</v>
      </c>
      <c r="H1097" t="s">
        <v>55</v>
      </c>
      <c r="I1097" s="2" t="s">
        <v>96</v>
      </c>
      <c r="J1097" s="2" t="s">
        <v>97</v>
      </c>
      <c r="K1097">
        <f>IFERROR(INDEX(Sheet2!$C$2:$C$1132,MATCH(Sheet1!C1097,Sheet1!$C$2:$C$1132,0)),"")</f>
        <v>20000</v>
      </c>
      <c r="L1097">
        <f>IFERROR(INDEX(Sheet2!$D$2:$D$1132,MATCH(Sheet1!C1097,$C$2:$C$1132,0)),"")</f>
        <v>70000</v>
      </c>
      <c r="M1097" t="str">
        <f>IFERROR(INDEX($M$2:$M$1132,MATCH(B1097,$B$2:$B$1132,0)),"")</f>
        <v>EXCEL, SQL, FINANCIAL MODELLING, BUDGETING</v>
      </c>
      <c r="N1097" t="s">
        <v>75</v>
      </c>
      <c r="O1097" t="s">
        <v>79</v>
      </c>
    </row>
    <row r="1098" spans="1:15" x14ac:dyDescent="0.25">
      <c r="A1098">
        <v>18946</v>
      </c>
      <c r="B1098" t="s">
        <v>19</v>
      </c>
      <c r="C1098" t="s">
        <v>33</v>
      </c>
      <c r="D1098" t="str">
        <f>IFERROR(INDEX(Sheet2!$B$2:$B$1132,MATCH(Sheet1!C1098,Sheet1!$C$2:$C$1132,0)),"IDK")</f>
        <v>FINANCE</v>
      </c>
      <c r="E1098" t="s">
        <v>51</v>
      </c>
      <c r="F1098" t="s">
        <v>52</v>
      </c>
      <c r="G1098" s="1">
        <v>45623</v>
      </c>
      <c r="H1098" t="s">
        <v>55</v>
      </c>
      <c r="I1098" s="2" t="s">
        <v>98</v>
      </c>
      <c r="J1098" s="2" t="s">
        <v>99</v>
      </c>
      <c r="K1098">
        <f>IFERROR(INDEX(Sheet2!$C$2:$C$1132,MATCH(Sheet1!C1098,Sheet1!$C$2:$C$1132,0)),"")</f>
        <v>40000</v>
      </c>
      <c r="L1098">
        <f>IFERROR(INDEX(Sheet2!$D$2:$D$1132,MATCH(Sheet1!C1098,$C$2:$C$1132,0)),"")</f>
        <v>85000</v>
      </c>
      <c r="M1098" t="str">
        <f>IFERROR(INDEX($M$2:$M$1132,MATCH(B1098,$B$2:$B$1132,0)),"")</f>
        <v>NETWORK SECURITY, ETHICAL HACKING, RISK ASSESSMENT</v>
      </c>
      <c r="N1098" t="s">
        <v>76</v>
      </c>
      <c r="O1098" t="s">
        <v>79</v>
      </c>
    </row>
    <row r="1099" spans="1:15" x14ac:dyDescent="0.25">
      <c r="A1099">
        <v>18947</v>
      </c>
      <c r="B1099" t="s">
        <v>20</v>
      </c>
      <c r="C1099" t="s">
        <v>23</v>
      </c>
      <c r="D1099" t="str">
        <f>IFERROR(INDEX(Sheet2!$B$2:$B$1132,MATCH(Sheet1!C1099,Sheet1!$C$2:$C$1132,0)),"IDK")</f>
        <v>IT</v>
      </c>
      <c r="E1099" t="s">
        <v>51</v>
      </c>
      <c r="F1099" t="s">
        <v>52</v>
      </c>
      <c r="G1099" s="1">
        <v>45558</v>
      </c>
      <c r="H1099" t="s">
        <v>55</v>
      </c>
      <c r="I1099" s="2" t="s">
        <v>88</v>
      </c>
      <c r="J1099" s="2" t="s">
        <v>91</v>
      </c>
      <c r="K1099">
        <f>IFERROR(INDEX(Sheet2!$C$2:$C$1132,MATCH(Sheet1!C1099,Sheet1!$C$2:$C$1132,0)),"")</f>
        <v>35000</v>
      </c>
      <c r="L1099">
        <f>IFERROR(INDEX(Sheet2!$D$2:$D$1132,MATCH(Sheet1!C1099,$C$2:$C$1132,0)),"")</f>
        <v>70000</v>
      </c>
      <c r="M1099" t="str">
        <f>IFERROR(INDEX($M$2:$M$1132,MATCH(B1099,$B$2:$B$1132,0)),"")</f>
        <v>CLOUD, NETWORK, MACHINE LEARNING</v>
      </c>
      <c r="N1099" t="s">
        <v>76</v>
      </c>
      <c r="O1099" t="s">
        <v>79</v>
      </c>
    </row>
    <row r="1100" spans="1:15" x14ac:dyDescent="0.25">
      <c r="A1100">
        <v>18948</v>
      </c>
      <c r="B1100" t="s">
        <v>21</v>
      </c>
      <c r="C1100" t="s">
        <v>24</v>
      </c>
      <c r="D1100" t="str">
        <f>IFERROR(INDEX(Sheet2!$B$2:$B$1132,MATCH(Sheet1!C1100,Sheet1!$C$2:$C$1132,0)),"IDK")</f>
        <v>HEALTH</v>
      </c>
      <c r="E1100" t="s">
        <v>51</v>
      </c>
      <c r="F1100" t="s">
        <v>52</v>
      </c>
      <c r="G1100" s="1">
        <v>45647</v>
      </c>
      <c r="H1100" t="s">
        <v>55</v>
      </c>
      <c r="I1100" s="2" t="s">
        <v>92</v>
      </c>
      <c r="J1100" s="2" t="s">
        <v>93</v>
      </c>
      <c r="K1100">
        <f>IFERROR(INDEX(Sheet2!$C$2:$C$1132,MATCH(Sheet1!C1100,Sheet1!$C$2:$C$1132,0)),"")</f>
        <v>25000</v>
      </c>
      <c r="L1100">
        <f>IFERROR(INDEX(Sheet2!$D$2:$D$1132,MATCH(Sheet1!C1100,$C$2:$C$1132,0)),"")</f>
        <v>50000</v>
      </c>
      <c r="M1100" t="str">
        <f>IFERROR(INDEX($M$2:$M$1132,MATCH(B1100,$B$2:$B$1132,0)),"")</f>
        <v>RISK ANALYSIS, DATA ANALYSIS, EXCEL, STATISTICS</v>
      </c>
      <c r="N1100" t="s">
        <v>76</v>
      </c>
      <c r="O1100" t="s">
        <v>79</v>
      </c>
    </row>
    <row r="1101" spans="1:15" x14ac:dyDescent="0.25">
      <c r="A1101">
        <v>18949</v>
      </c>
      <c r="B1101" t="s">
        <v>22</v>
      </c>
      <c r="C1101" t="s">
        <v>25</v>
      </c>
      <c r="D1101" t="str">
        <f>IFERROR(INDEX(Sheet2!$B$2:$B$1132,MATCH(Sheet1!C1101,Sheet1!$C$2:$C$1132,0)),"IDK")</f>
        <v>SOCIAL</v>
      </c>
      <c r="E1101" t="s">
        <v>51</v>
      </c>
      <c r="F1101" t="s">
        <v>52</v>
      </c>
      <c r="G1101" s="1">
        <v>45334</v>
      </c>
      <c r="H1101" t="s">
        <v>55</v>
      </c>
      <c r="I1101" s="2" t="s">
        <v>94</v>
      </c>
      <c r="J1101" s="2" t="s">
        <v>95</v>
      </c>
      <c r="K1101">
        <f>IFERROR(INDEX(Sheet2!$C$2:$C$1132,MATCH(Sheet1!C1101,Sheet1!$C$2:$C$1132,0)),"")</f>
        <v>30000</v>
      </c>
      <c r="L1101">
        <f>IFERROR(INDEX(Sheet2!$D$2:$D$1132,MATCH(Sheet1!C1101,$C$2:$C$1132,0)),"")</f>
        <v>60000</v>
      </c>
      <c r="M1101" t="str">
        <f>IFERROR(INDEX($M$2:$M$1132,MATCH(B1101,$B$2:$B$1132,0)),"")</f>
        <v>GOOGLE ANALYTICS, SEO, SOCIAL MEDIA ANALYTICS, EXCEL</v>
      </c>
      <c r="N1101" t="s">
        <v>74</v>
      </c>
      <c r="O1101" t="s">
        <v>79</v>
      </c>
    </row>
    <row r="1102" spans="1:15" x14ac:dyDescent="0.25">
      <c r="A1102">
        <v>18950</v>
      </c>
      <c r="B1102" t="s">
        <v>14</v>
      </c>
      <c r="C1102" t="s">
        <v>26</v>
      </c>
      <c r="D1102" t="str">
        <f>IFERROR(INDEX(Sheet2!$B$2:$B$1132,MATCH(Sheet1!C1102,Sheet1!$C$2:$C$1132,0)),"IDK")</f>
        <v>FINANCE</v>
      </c>
      <c r="E1102" t="s">
        <v>51</v>
      </c>
      <c r="F1102" t="s">
        <v>52</v>
      </c>
      <c r="G1102" s="1">
        <v>45433</v>
      </c>
      <c r="H1102" t="s">
        <v>55</v>
      </c>
      <c r="I1102" s="2" t="s">
        <v>96</v>
      </c>
      <c r="J1102" s="2" t="s">
        <v>97</v>
      </c>
      <c r="K1102">
        <f>IFERROR(INDEX(Sheet2!$C$2:$C$1132,MATCH(Sheet1!C1102,Sheet1!$C$2:$C$1132,0)),"")</f>
        <v>35000</v>
      </c>
      <c r="L1102">
        <f>IFERROR(INDEX(Sheet2!$D$2:$D$1132,MATCH(Sheet1!C1102,$C$2:$C$1132,0)),"")</f>
        <v>75000</v>
      </c>
      <c r="M1102" t="str">
        <f>IFERROR(INDEX($M$2:$M$1132,MATCH(B1102,$B$2:$B$1132,0)),"")</f>
        <v>SQL, EXCEL, POWERBI, TABLEAU</v>
      </c>
      <c r="N1102" t="s">
        <v>74</v>
      </c>
      <c r="O1102" t="s">
        <v>79</v>
      </c>
    </row>
    <row r="1103" spans="1:15" x14ac:dyDescent="0.25">
      <c r="A1103">
        <v>18951</v>
      </c>
      <c r="B1103" t="s">
        <v>15</v>
      </c>
      <c r="C1103" t="s">
        <v>27</v>
      </c>
      <c r="D1103" t="str">
        <f>IFERROR(INDEX(Sheet2!$B$2:$B$1132,MATCH(Sheet1!C1103,Sheet1!$C$2:$C$1132,0)),"IDK")</f>
        <v>IT</v>
      </c>
      <c r="E1103" t="s">
        <v>51</v>
      </c>
      <c r="F1103" t="s">
        <v>52</v>
      </c>
      <c r="G1103" s="1">
        <v>45504</v>
      </c>
      <c r="H1103" t="s">
        <v>55</v>
      </c>
      <c r="I1103" s="2" t="s">
        <v>98</v>
      </c>
      <c r="J1103" s="2" t="s">
        <v>99</v>
      </c>
      <c r="K1103">
        <f>IFERROR(INDEX(Sheet2!$C$2:$C$1132,MATCH(Sheet1!C1103,Sheet1!$C$2:$C$1132,0)),"")</f>
        <v>40000</v>
      </c>
      <c r="L1103">
        <f>IFERROR(INDEX(Sheet2!$D$2:$D$1132,MATCH(Sheet1!C1103,$C$2:$C$1132,0)),"")</f>
        <v>80000</v>
      </c>
      <c r="M1103" t="str">
        <f>IFERROR(INDEX($M$2:$M$1132,MATCH(B1103,$B$2:$B$1132,0)),"")</f>
        <v>SQL, PYTHON, AWS, SPARK, ETL</v>
      </c>
      <c r="N1103" t="s">
        <v>74</v>
      </c>
      <c r="O1103" t="s">
        <v>37</v>
      </c>
    </row>
    <row r="1104" spans="1:15" x14ac:dyDescent="0.25">
      <c r="A1104">
        <v>18952</v>
      </c>
      <c r="B1104" t="s">
        <v>16</v>
      </c>
      <c r="C1104" t="s">
        <v>28</v>
      </c>
      <c r="D1104" t="str">
        <f>IFERROR(INDEX(Sheet2!$B$2:$B$1132,MATCH(Sheet1!C1104,Sheet1!$C$2:$C$1132,0)),"IDK")</f>
        <v>IT</v>
      </c>
      <c r="E1104" t="s">
        <v>51</v>
      </c>
      <c r="F1104" t="s">
        <v>52</v>
      </c>
      <c r="G1104" s="1">
        <v>45338</v>
      </c>
      <c r="H1104" t="s">
        <v>55</v>
      </c>
      <c r="I1104" s="2" t="s">
        <v>100</v>
      </c>
      <c r="J1104" s="2" t="s">
        <v>101</v>
      </c>
      <c r="K1104">
        <f>IFERROR(INDEX(Sheet2!$C$2:$C$1132,MATCH(Sheet1!C1104,Sheet1!$C$2:$C$1132,0)),"")</f>
        <v>30000</v>
      </c>
      <c r="L1104">
        <f>IFERROR(INDEX(Sheet2!$D$2:$D$1132,MATCH(Sheet1!C1104,$C$2:$C$1132,0)),"")</f>
        <v>55000</v>
      </c>
      <c r="M1104" t="str">
        <f>IFERROR(INDEX($M$2:$M$1132,MATCH(B1104,$B$2:$B$1132,0)),"")</f>
        <v>PYTHON, MACHINE LEARNING,PANDAS, NUMPY</v>
      </c>
      <c r="N1104" t="s">
        <v>74</v>
      </c>
      <c r="O1104" t="s">
        <v>78</v>
      </c>
    </row>
    <row r="1105" spans="1:15" x14ac:dyDescent="0.25">
      <c r="A1105">
        <v>18953</v>
      </c>
      <c r="B1105" t="s">
        <v>17</v>
      </c>
      <c r="C1105" t="s">
        <v>29</v>
      </c>
      <c r="D1105" t="str">
        <f>IFERROR(INDEX(Sheet2!$B$2:$B$1132,MATCH(Sheet1!C1105,Sheet1!$C$2:$C$1132,0)),"IDK")</f>
        <v>IT</v>
      </c>
      <c r="E1105" t="s">
        <v>51</v>
      </c>
      <c r="F1105" t="s">
        <v>52</v>
      </c>
      <c r="G1105" s="1">
        <v>45469</v>
      </c>
      <c r="H1105" t="s">
        <v>55</v>
      </c>
      <c r="I1105" s="2" t="s">
        <v>102</v>
      </c>
      <c r="J1105" s="2" t="s">
        <v>103</v>
      </c>
      <c r="K1105">
        <f>IFERROR(INDEX(Sheet2!$C$2:$C$1132,MATCH(Sheet1!C1105,Sheet1!$C$2:$C$1132,0)),"")</f>
        <v>35000</v>
      </c>
      <c r="L1105">
        <f>IFERROR(INDEX(Sheet2!$D$2:$D$1132,MATCH(Sheet1!C1105,$C$2:$C$1132,0)),"")</f>
        <v>70000</v>
      </c>
      <c r="M1105" t="str">
        <f>IFERROR(INDEX($M$2:$M$1132,MATCH(B1105,$B$2:$B$1132,0)),"")</f>
        <v>EXCEL, SQL, TABLEAU, BUSINESS ANALYSIS</v>
      </c>
      <c r="N1105" t="s">
        <v>74</v>
      </c>
      <c r="O1105" t="s">
        <v>80</v>
      </c>
    </row>
    <row r="1106" spans="1:15" x14ac:dyDescent="0.25">
      <c r="A1106">
        <v>18954</v>
      </c>
      <c r="B1106" t="s">
        <v>18</v>
      </c>
      <c r="C1106" t="s">
        <v>23</v>
      </c>
      <c r="D1106" t="str">
        <f>IFERROR(INDEX(Sheet2!$B$2:$B$1132,MATCH(Sheet1!C1106,Sheet1!$C$2:$C$1132,0)),"IDK")</f>
        <v>IT</v>
      </c>
      <c r="E1106" t="s">
        <v>51</v>
      </c>
      <c r="F1106" t="s">
        <v>52</v>
      </c>
      <c r="G1106" s="1">
        <v>45590</v>
      </c>
      <c r="H1106" t="s">
        <v>55</v>
      </c>
      <c r="I1106" s="2" t="s">
        <v>104</v>
      </c>
      <c r="J1106" s="2" t="s">
        <v>105</v>
      </c>
      <c r="K1106">
        <f>IFERROR(INDEX(Sheet2!$C$2:$C$1132,MATCH(Sheet1!C1106,Sheet1!$C$2:$C$1132,0)),"")</f>
        <v>35000</v>
      </c>
      <c r="L1106">
        <f>IFERROR(INDEX(Sheet2!$D$2:$D$1132,MATCH(Sheet1!C1106,$C$2:$C$1132,0)),"")</f>
        <v>70000</v>
      </c>
      <c r="M1106" t="str">
        <f>IFERROR(INDEX($M$2:$M$1132,MATCH(B1106,$B$2:$B$1132,0)),"")</f>
        <v>EXCEL, SQL, FINANCIAL MODELLING, BUDGETING</v>
      </c>
      <c r="N1106" t="s">
        <v>75</v>
      </c>
      <c r="O1106" t="s">
        <v>77</v>
      </c>
    </row>
    <row r="1107" spans="1:15" x14ac:dyDescent="0.25">
      <c r="A1107">
        <v>18955</v>
      </c>
      <c r="B1107" t="s">
        <v>19</v>
      </c>
      <c r="C1107" t="s">
        <v>30</v>
      </c>
      <c r="D1107" t="str">
        <f>IFERROR(INDEX(Sheet2!$B$2:$B$1132,MATCH(Sheet1!C1107,Sheet1!$C$2:$C$1132,0)),"IDK")</f>
        <v>IT</v>
      </c>
      <c r="E1107" t="s">
        <v>51</v>
      </c>
      <c r="F1107" t="s">
        <v>52</v>
      </c>
      <c r="G1107" s="1">
        <v>45352</v>
      </c>
      <c r="H1107" t="s">
        <v>55</v>
      </c>
      <c r="I1107" s="2" t="s">
        <v>88</v>
      </c>
      <c r="J1107" s="2" t="s">
        <v>90</v>
      </c>
      <c r="K1107">
        <f>IFERROR(INDEX(Sheet2!$C$2:$C$1132,MATCH(Sheet1!C1107,Sheet1!$C$2:$C$1132,0)),"")</f>
        <v>25000</v>
      </c>
      <c r="L1107">
        <f>IFERROR(INDEX(Sheet2!$D$2:$D$1132,MATCH(Sheet1!C1107,$C$2:$C$1132,0)),"")</f>
        <v>60000</v>
      </c>
      <c r="M1107" t="str">
        <f>IFERROR(INDEX($M$2:$M$1132,MATCH(B1107,$B$2:$B$1132,0)),"")</f>
        <v>NETWORK SECURITY, ETHICAL HACKING, RISK ASSESSMENT</v>
      </c>
      <c r="N1107" t="s">
        <v>75</v>
      </c>
      <c r="O1107" t="s">
        <v>79</v>
      </c>
    </row>
    <row r="1108" spans="1:15" x14ac:dyDescent="0.25">
      <c r="A1108">
        <v>18956</v>
      </c>
      <c r="B1108" t="s">
        <v>20</v>
      </c>
      <c r="C1108" t="s">
        <v>31</v>
      </c>
      <c r="D1108" t="str">
        <f>IFERROR(INDEX(Sheet2!$B$2:$B$1132,MATCH(Sheet1!C1108,Sheet1!$C$2:$C$1132,0)),"IDK")</f>
        <v>IT</v>
      </c>
      <c r="E1108" t="s">
        <v>51</v>
      </c>
      <c r="F1108" t="s">
        <v>52</v>
      </c>
      <c r="G1108" s="1">
        <v>45565</v>
      </c>
      <c r="H1108" t="s">
        <v>55</v>
      </c>
      <c r="I1108" s="2" t="s">
        <v>86</v>
      </c>
      <c r="J1108" s="2" t="s">
        <v>87</v>
      </c>
      <c r="K1108">
        <f>IFERROR(INDEX(Sheet2!$C$2:$C$1132,MATCH(Sheet1!C1108,Sheet1!$C$2:$C$1132,0)),"")</f>
        <v>25000</v>
      </c>
      <c r="L1108">
        <f>IFERROR(INDEX(Sheet2!$D$2:$D$1132,MATCH(Sheet1!C1108,$C$2:$C$1132,0)),"")</f>
        <v>75000</v>
      </c>
      <c r="M1108" t="str">
        <f>IFERROR(INDEX($M$2:$M$1132,MATCH(B1108,$B$2:$B$1132,0)),"")</f>
        <v>CLOUD, NETWORK, MACHINE LEARNING</v>
      </c>
      <c r="N1108" t="s">
        <v>75</v>
      </c>
      <c r="O1108" t="s">
        <v>37</v>
      </c>
    </row>
    <row r="1109" spans="1:15" x14ac:dyDescent="0.25">
      <c r="A1109">
        <v>18957</v>
      </c>
      <c r="B1109" t="s">
        <v>21</v>
      </c>
      <c r="C1109" t="s">
        <v>32</v>
      </c>
      <c r="D1109" t="str">
        <f>IFERROR(INDEX(Sheet2!$B$2:$B$1132,MATCH(Sheet1!C1109,Sheet1!$C$2:$C$1132,0)),"IDK")</f>
        <v>SOCIAL</v>
      </c>
      <c r="E1109" t="s">
        <v>51</v>
      </c>
      <c r="F1109" t="s">
        <v>52</v>
      </c>
      <c r="G1109" s="1">
        <v>45396</v>
      </c>
      <c r="H1109" t="s">
        <v>55</v>
      </c>
      <c r="I1109" s="2" t="s">
        <v>82</v>
      </c>
      <c r="J1109" s="2" t="s">
        <v>84</v>
      </c>
      <c r="K1109">
        <f>IFERROR(INDEX(Sheet2!$C$2:$C$1132,MATCH(Sheet1!C1109,Sheet1!$C$2:$C$1132,0)),"")</f>
        <v>20000</v>
      </c>
      <c r="L1109">
        <f>IFERROR(INDEX(Sheet2!$D$2:$D$1132,MATCH(Sheet1!C1109,$C$2:$C$1132,0)),"")</f>
        <v>70000</v>
      </c>
      <c r="M1109" t="str">
        <f>IFERROR(INDEX($M$2:$M$1132,MATCH(B1109,$B$2:$B$1132,0)),"")</f>
        <v>RISK ANALYSIS, DATA ANALYSIS, EXCEL, STATISTICS</v>
      </c>
      <c r="N1109" t="s">
        <v>76</v>
      </c>
      <c r="O1109" t="s">
        <v>37</v>
      </c>
    </row>
    <row r="1110" spans="1:15" x14ac:dyDescent="0.25">
      <c r="A1110">
        <v>18958</v>
      </c>
      <c r="B1110" t="s">
        <v>22</v>
      </c>
      <c r="C1110" t="s">
        <v>33</v>
      </c>
      <c r="D1110" t="str">
        <f>IFERROR(INDEX(Sheet2!$B$2:$B$1132,MATCH(Sheet1!C1110,Sheet1!$C$2:$C$1132,0)),"IDK")</f>
        <v>FINANCE</v>
      </c>
      <c r="E1110" t="s">
        <v>51</v>
      </c>
      <c r="F1110" t="s">
        <v>52</v>
      </c>
      <c r="G1110" s="1">
        <v>45303</v>
      </c>
      <c r="H1110" t="s">
        <v>55</v>
      </c>
      <c r="I1110" s="2" t="s">
        <v>82</v>
      </c>
      <c r="J1110" s="2" t="s">
        <v>85</v>
      </c>
      <c r="K1110">
        <f>IFERROR(INDEX(Sheet2!$C$2:$C$1132,MATCH(Sheet1!C1110,Sheet1!$C$2:$C$1132,0)),"")</f>
        <v>40000</v>
      </c>
      <c r="L1110">
        <f>IFERROR(INDEX(Sheet2!$D$2:$D$1132,MATCH(Sheet1!C1110,$C$2:$C$1132,0)),"")</f>
        <v>85000</v>
      </c>
      <c r="M1110" t="str">
        <f>IFERROR(INDEX($M$2:$M$1132,MATCH(B1110,$B$2:$B$1132,0)),"")</f>
        <v>GOOGLE ANALYTICS, SEO, SOCIAL MEDIA ANALYTICS, EXCEL</v>
      </c>
      <c r="N1110" t="s">
        <v>76</v>
      </c>
      <c r="O1110" t="s">
        <v>78</v>
      </c>
    </row>
    <row r="1111" spans="1:15" x14ac:dyDescent="0.25">
      <c r="A1111">
        <v>18959</v>
      </c>
      <c r="B1111" t="s">
        <v>14</v>
      </c>
      <c r="C1111" t="s">
        <v>34</v>
      </c>
      <c r="D1111" t="str">
        <f>IFERROR(INDEX(Sheet2!$B$2:$B$1132,MATCH(Sheet1!C1111,Sheet1!$C$2:$C$1132,0)),"IDK")</f>
        <v>IT</v>
      </c>
      <c r="E1111" t="s">
        <v>51</v>
      </c>
      <c r="F1111" t="s">
        <v>52</v>
      </c>
      <c r="G1111" s="1">
        <v>45421</v>
      </c>
      <c r="H1111" t="s">
        <v>55</v>
      </c>
      <c r="I1111" s="2" t="s">
        <v>86</v>
      </c>
      <c r="J1111" s="2" t="s">
        <v>87</v>
      </c>
      <c r="K1111">
        <f>IFERROR(INDEX(Sheet2!$C$2:$C$1132,MATCH(Sheet1!C1111,Sheet1!$C$2:$C$1132,0)),"")</f>
        <v>35000</v>
      </c>
      <c r="L1111">
        <f>IFERROR(INDEX(Sheet2!$D$2:$D$1132,MATCH(Sheet1!C1111,$C$2:$C$1132,0)),"")</f>
        <v>90000</v>
      </c>
      <c r="M1111" t="str">
        <f>IFERROR(INDEX($M$2:$M$1132,MATCH(B1111,$B$2:$B$1132,0)),"")</f>
        <v>SQL, EXCEL, POWERBI, TABLEAU</v>
      </c>
      <c r="N1111" t="s">
        <v>76</v>
      </c>
      <c r="O1111" t="s">
        <v>78</v>
      </c>
    </row>
    <row r="1112" spans="1:15" x14ac:dyDescent="0.25">
      <c r="A1112">
        <v>18960</v>
      </c>
      <c r="B1112" t="s">
        <v>15</v>
      </c>
      <c r="C1112" t="s">
        <v>35</v>
      </c>
      <c r="D1112" t="str">
        <f>IFERROR(INDEX(Sheet2!$B$2:$B$1132,MATCH(Sheet1!C1112,Sheet1!$C$2:$C$1132,0)),"IDK")</f>
        <v>SOCIAL</v>
      </c>
      <c r="E1112" t="s">
        <v>51</v>
      </c>
      <c r="F1112" t="s">
        <v>52</v>
      </c>
      <c r="G1112" s="1">
        <v>45574</v>
      </c>
      <c r="H1112" t="s">
        <v>55</v>
      </c>
      <c r="I1112" s="2" t="s">
        <v>88</v>
      </c>
      <c r="J1112" s="2" t="s">
        <v>89</v>
      </c>
      <c r="K1112">
        <f>IFERROR(INDEX(Sheet2!$C$2:$C$1132,MATCH(Sheet1!C1112,Sheet1!$C$2:$C$1132,0)),"")</f>
        <v>30000</v>
      </c>
      <c r="L1112">
        <f>IFERROR(INDEX(Sheet2!$D$2:$D$1132,MATCH(Sheet1!C1112,$C$2:$C$1132,0)),"")</f>
        <v>95000</v>
      </c>
      <c r="M1112" t="str">
        <f>IFERROR(INDEX($M$2:$M$1132,MATCH(B1112,$B$2:$B$1132,0)),"")</f>
        <v>SQL, PYTHON, AWS, SPARK, ETL</v>
      </c>
      <c r="N1112" t="s">
        <v>74</v>
      </c>
      <c r="O1112" t="s">
        <v>77</v>
      </c>
    </row>
    <row r="1113" spans="1:15" x14ac:dyDescent="0.25">
      <c r="A1113">
        <v>18961</v>
      </c>
      <c r="B1113" t="s">
        <v>16</v>
      </c>
      <c r="C1113" t="s">
        <v>36</v>
      </c>
      <c r="D1113" t="str">
        <f>IFERROR(INDEX(Sheet2!$B$2:$B$1132,MATCH(Sheet1!C1113,Sheet1!$C$2:$C$1132,0)),"IDK")</f>
        <v>IT</v>
      </c>
      <c r="E1113" t="s">
        <v>51</v>
      </c>
      <c r="F1113" t="s">
        <v>52</v>
      </c>
      <c r="G1113" s="1">
        <v>45530</v>
      </c>
      <c r="H1113" t="s">
        <v>55</v>
      </c>
      <c r="I1113" s="2" t="s">
        <v>88</v>
      </c>
      <c r="J1113" s="2" t="s">
        <v>90</v>
      </c>
      <c r="K1113">
        <f>IFERROR(INDEX(Sheet2!$C$2:$C$1132,MATCH(Sheet1!C1113,Sheet1!$C$2:$C$1132,0)),"")</f>
        <v>50000</v>
      </c>
      <c r="L1113">
        <f>IFERROR(INDEX(Sheet2!$D$2:$D$1132,MATCH(Sheet1!C1113,$C$2:$C$1132,0)),"")</f>
        <v>100000</v>
      </c>
      <c r="M1113" t="str">
        <f>IFERROR(INDEX($M$2:$M$1132,MATCH(B1113,$B$2:$B$1132,0)),"")</f>
        <v>PYTHON, MACHINE LEARNING,PANDAS, NUMPY</v>
      </c>
      <c r="N1113" t="s">
        <v>74</v>
      </c>
      <c r="O1113" t="s">
        <v>77</v>
      </c>
    </row>
    <row r="1114" spans="1:15" x14ac:dyDescent="0.25">
      <c r="A1114">
        <v>18962</v>
      </c>
      <c r="B1114" t="s">
        <v>14</v>
      </c>
      <c r="C1114" t="s">
        <v>27</v>
      </c>
      <c r="D1114" t="str">
        <f>IFERROR(INDEX(Sheet2!$B$2:$B$1132,MATCH(Sheet1!C1114,Sheet1!$C$2:$C$1132,0)),"IDK")</f>
        <v>IT</v>
      </c>
      <c r="E1114" t="s">
        <v>51</v>
      </c>
      <c r="F1114" t="s">
        <v>52</v>
      </c>
      <c r="G1114" s="1">
        <v>45592</v>
      </c>
      <c r="H1114" t="s">
        <v>55</v>
      </c>
      <c r="I1114" s="2" t="s">
        <v>88</v>
      </c>
      <c r="J1114" s="2" t="s">
        <v>91</v>
      </c>
      <c r="K1114">
        <f>IFERROR(INDEX(Sheet2!$C$2:$C$1132,MATCH(Sheet1!C1114,Sheet1!$C$2:$C$1132,0)),"")</f>
        <v>40000</v>
      </c>
      <c r="L1114">
        <f>IFERROR(INDEX(Sheet2!$D$2:$D$1132,MATCH(Sheet1!C1114,$C$2:$C$1132,0)),"")</f>
        <v>80000</v>
      </c>
      <c r="M1114" t="str">
        <f>IFERROR(INDEX($M$2:$M$1132,MATCH(B1114,$B$2:$B$1132,0)),"")</f>
        <v>SQL, EXCEL, POWERBI, TABLEAU</v>
      </c>
      <c r="N1114" t="s">
        <v>74</v>
      </c>
      <c r="O1114" t="s">
        <v>79</v>
      </c>
    </row>
    <row r="1115" spans="1:15" x14ac:dyDescent="0.25">
      <c r="A1115">
        <v>18963</v>
      </c>
      <c r="B1115" t="s">
        <v>15</v>
      </c>
      <c r="C1115" t="s">
        <v>28</v>
      </c>
      <c r="D1115" t="str">
        <f>IFERROR(INDEX(Sheet2!$B$2:$B$1132,MATCH(Sheet1!C1115,Sheet1!$C$2:$C$1132,0)),"IDK")</f>
        <v>IT</v>
      </c>
      <c r="E1115" t="s">
        <v>51</v>
      </c>
      <c r="F1115" t="s">
        <v>52</v>
      </c>
      <c r="G1115" s="1">
        <v>45320</v>
      </c>
      <c r="H1115" t="s">
        <v>55</v>
      </c>
      <c r="I1115" s="2" t="s">
        <v>92</v>
      </c>
      <c r="J1115" s="2" t="s">
        <v>93</v>
      </c>
      <c r="K1115">
        <f>IFERROR(INDEX(Sheet2!$C$2:$C$1132,MATCH(Sheet1!C1115,Sheet1!$C$2:$C$1132,0)),"")</f>
        <v>30000</v>
      </c>
      <c r="L1115">
        <f>IFERROR(INDEX(Sheet2!$D$2:$D$1132,MATCH(Sheet1!C1115,$C$2:$C$1132,0)),"")</f>
        <v>55000</v>
      </c>
      <c r="M1115" t="str">
        <f>IFERROR(INDEX($M$2:$M$1132,MATCH(B1115,$B$2:$B$1132,0)),"")</f>
        <v>SQL, PYTHON, AWS, SPARK, ETL</v>
      </c>
      <c r="N1115" t="s">
        <v>75</v>
      </c>
      <c r="O1115" t="s">
        <v>79</v>
      </c>
    </row>
    <row r="1116" spans="1:15" x14ac:dyDescent="0.25">
      <c r="A1116">
        <v>18964</v>
      </c>
      <c r="B1116" t="s">
        <v>16</v>
      </c>
      <c r="C1116" t="s">
        <v>29</v>
      </c>
      <c r="D1116" t="str">
        <f>IFERROR(INDEX(Sheet2!$B$2:$B$1132,MATCH(Sheet1!C1116,Sheet1!$C$2:$C$1132,0)),"IDK")</f>
        <v>IT</v>
      </c>
      <c r="E1116" t="s">
        <v>51</v>
      </c>
      <c r="F1116" t="s">
        <v>52</v>
      </c>
      <c r="G1116" s="1">
        <v>45370</v>
      </c>
      <c r="H1116" t="s">
        <v>55</v>
      </c>
      <c r="I1116" s="2" t="s">
        <v>94</v>
      </c>
      <c r="J1116" s="2" t="s">
        <v>95</v>
      </c>
      <c r="K1116">
        <f>IFERROR(INDEX(Sheet2!$C$2:$C$1132,MATCH(Sheet1!C1116,Sheet1!$C$2:$C$1132,0)),"")</f>
        <v>35000</v>
      </c>
      <c r="L1116">
        <f>IFERROR(INDEX(Sheet2!$D$2:$D$1132,MATCH(Sheet1!C1116,$C$2:$C$1132,0)),"")</f>
        <v>70000</v>
      </c>
      <c r="M1116" t="str">
        <f>IFERROR(INDEX($M$2:$M$1132,MATCH(B1116,$B$2:$B$1132,0)),"")</f>
        <v>PYTHON, MACHINE LEARNING,PANDAS, NUMPY</v>
      </c>
      <c r="N1116" t="s">
        <v>75</v>
      </c>
      <c r="O1116" t="s">
        <v>80</v>
      </c>
    </row>
    <row r="1117" spans="1:15" x14ac:dyDescent="0.25">
      <c r="A1117">
        <v>18965</v>
      </c>
      <c r="B1117" t="s">
        <v>17</v>
      </c>
      <c r="C1117" t="s">
        <v>23</v>
      </c>
      <c r="D1117" t="str">
        <f>IFERROR(INDEX(Sheet2!$B$2:$B$1132,MATCH(Sheet1!C1117,Sheet1!$C$2:$C$1132,0)),"IDK")</f>
        <v>IT</v>
      </c>
      <c r="E1117" t="s">
        <v>51</v>
      </c>
      <c r="F1117" t="s">
        <v>52</v>
      </c>
      <c r="G1117" s="1">
        <v>45645</v>
      </c>
      <c r="H1117" t="s">
        <v>55</v>
      </c>
      <c r="I1117" s="2" t="s">
        <v>96</v>
      </c>
      <c r="J1117" s="2" t="s">
        <v>97</v>
      </c>
      <c r="K1117">
        <f>IFERROR(INDEX(Sheet2!$C$2:$C$1132,MATCH(Sheet1!C1117,Sheet1!$C$2:$C$1132,0)),"")</f>
        <v>35000</v>
      </c>
      <c r="L1117">
        <f>IFERROR(INDEX(Sheet2!$D$2:$D$1132,MATCH(Sheet1!C1117,$C$2:$C$1132,0)),"")</f>
        <v>70000</v>
      </c>
      <c r="M1117" t="str">
        <f>IFERROR(INDEX($M$2:$M$1132,MATCH(B1117,$B$2:$B$1132,0)),"")</f>
        <v>EXCEL, SQL, TABLEAU, BUSINESS ANALYSIS</v>
      </c>
      <c r="N1117" t="s">
        <v>75</v>
      </c>
      <c r="O1117" t="s">
        <v>80</v>
      </c>
    </row>
    <row r="1118" spans="1:15" x14ac:dyDescent="0.25">
      <c r="A1118">
        <v>18966</v>
      </c>
      <c r="B1118" t="s">
        <v>18</v>
      </c>
      <c r="C1118" t="s">
        <v>30</v>
      </c>
      <c r="D1118" t="str">
        <f>IFERROR(INDEX(Sheet2!$B$2:$B$1132,MATCH(Sheet1!C1118,Sheet1!$C$2:$C$1132,0)),"IDK")</f>
        <v>IT</v>
      </c>
      <c r="E1118" t="s">
        <v>51</v>
      </c>
      <c r="F1118" t="s">
        <v>52</v>
      </c>
      <c r="G1118" s="1">
        <v>45501</v>
      </c>
      <c r="H1118" t="s">
        <v>55</v>
      </c>
      <c r="I1118" s="2" t="s">
        <v>98</v>
      </c>
      <c r="J1118" s="2" t="s">
        <v>99</v>
      </c>
      <c r="K1118">
        <f>IFERROR(INDEX(Sheet2!$C$2:$C$1132,MATCH(Sheet1!C1118,Sheet1!$C$2:$C$1132,0)),"")</f>
        <v>25000</v>
      </c>
      <c r="L1118">
        <f>IFERROR(INDEX(Sheet2!$D$2:$D$1132,MATCH(Sheet1!C1118,$C$2:$C$1132,0)),"")</f>
        <v>60000</v>
      </c>
      <c r="M1118" t="str">
        <f>IFERROR(INDEX($M$2:$M$1132,MATCH(B1118,$B$2:$B$1132,0)),"")</f>
        <v>EXCEL, SQL, FINANCIAL MODELLING, BUDGETING</v>
      </c>
      <c r="N1118" t="s">
        <v>76</v>
      </c>
      <c r="O1118" t="s">
        <v>37</v>
      </c>
    </row>
    <row r="1119" spans="1:15" x14ac:dyDescent="0.25">
      <c r="A1119">
        <v>18967</v>
      </c>
      <c r="B1119" t="s">
        <v>19</v>
      </c>
      <c r="C1119" t="s">
        <v>31</v>
      </c>
      <c r="D1119" t="str">
        <f>IFERROR(INDEX(Sheet2!$B$2:$B$1132,MATCH(Sheet1!C1119,Sheet1!$C$2:$C$1132,0)),"IDK")</f>
        <v>IT</v>
      </c>
      <c r="E1119" t="s">
        <v>51</v>
      </c>
      <c r="F1119" t="s">
        <v>52</v>
      </c>
      <c r="G1119" s="1">
        <v>45304</v>
      </c>
      <c r="H1119" t="s">
        <v>55</v>
      </c>
      <c r="I1119" s="2" t="s">
        <v>100</v>
      </c>
      <c r="J1119" s="2" t="s">
        <v>101</v>
      </c>
      <c r="K1119">
        <f>IFERROR(INDEX(Sheet2!$C$2:$C$1132,MATCH(Sheet1!C1119,Sheet1!$C$2:$C$1132,0)),"")</f>
        <v>25000</v>
      </c>
      <c r="L1119">
        <f>IFERROR(INDEX(Sheet2!$D$2:$D$1132,MATCH(Sheet1!C1119,$C$2:$C$1132,0)),"")</f>
        <v>75000</v>
      </c>
      <c r="M1119" t="str">
        <f>IFERROR(INDEX($M$2:$M$1132,MATCH(B1119,$B$2:$B$1132,0)),"")</f>
        <v>NETWORK SECURITY, ETHICAL HACKING, RISK ASSESSMENT</v>
      </c>
      <c r="N1119" t="s">
        <v>76</v>
      </c>
      <c r="O1119" t="s">
        <v>37</v>
      </c>
    </row>
    <row r="1120" spans="1:15" x14ac:dyDescent="0.25">
      <c r="A1120">
        <v>18968</v>
      </c>
      <c r="B1120" t="s">
        <v>20</v>
      </c>
      <c r="C1120" t="s">
        <v>32</v>
      </c>
      <c r="D1120" t="str">
        <f>IFERROR(INDEX(Sheet2!$B$2:$B$1132,MATCH(Sheet1!C1120,Sheet1!$C$2:$C$1132,0)),"IDK")</f>
        <v>SOCIAL</v>
      </c>
      <c r="E1120" t="s">
        <v>51</v>
      </c>
      <c r="F1120" t="s">
        <v>52</v>
      </c>
      <c r="G1120" s="1">
        <v>45442</v>
      </c>
      <c r="H1120" t="s">
        <v>55</v>
      </c>
      <c r="I1120" s="2" t="s">
        <v>102</v>
      </c>
      <c r="J1120" s="2" t="s">
        <v>103</v>
      </c>
      <c r="K1120">
        <f>IFERROR(INDEX(Sheet2!$C$2:$C$1132,MATCH(Sheet1!C1120,Sheet1!$C$2:$C$1132,0)),"")</f>
        <v>20000</v>
      </c>
      <c r="L1120">
        <f>IFERROR(INDEX(Sheet2!$D$2:$D$1132,MATCH(Sheet1!C1120,$C$2:$C$1132,0)),"")</f>
        <v>70000</v>
      </c>
      <c r="M1120" t="str">
        <f>IFERROR(INDEX($M$2:$M$1132,MATCH(B1120,$B$2:$B$1132,0)),"")</f>
        <v>CLOUD, NETWORK, MACHINE LEARNING</v>
      </c>
      <c r="N1120" t="s">
        <v>76</v>
      </c>
      <c r="O1120" t="s">
        <v>37</v>
      </c>
    </row>
    <row r="1121" spans="1:15" x14ac:dyDescent="0.25">
      <c r="A1121">
        <v>18969</v>
      </c>
      <c r="B1121" t="s">
        <v>21</v>
      </c>
      <c r="C1121" t="s">
        <v>33</v>
      </c>
      <c r="D1121" t="str">
        <f>IFERROR(INDEX(Sheet2!$B$2:$B$1132,MATCH(Sheet1!C1121,Sheet1!$C$2:$C$1132,0)),"IDK")</f>
        <v>FINANCE</v>
      </c>
      <c r="E1121" t="s">
        <v>51</v>
      </c>
      <c r="F1121" t="s">
        <v>52</v>
      </c>
      <c r="G1121" s="1">
        <v>45521</v>
      </c>
      <c r="H1121" t="s">
        <v>55</v>
      </c>
      <c r="I1121" s="2" t="s">
        <v>104</v>
      </c>
      <c r="J1121" s="2" t="s">
        <v>105</v>
      </c>
      <c r="K1121">
        <f>IFERROR(INDEX(Sheet2!$C$2:$C$1132,MATCH(Sheet1!C1121,Sheet1!$C$2:$C$1132,0)),"")</f>
        <v>40000</v>
      </c>
      <c r="L1121">
        <f>IFERROR(INDEX(Sheet2!$D$2:$D$1132,MATCH(Sheet1!C1121,$C$2:$C$1132,0)),"")</f>
        <v>85000</v>
      </c>
      <c r="M1121" t="str">
        <f>IFERROR(INDEX($M$2:$M$1132,MATCH(B1121,$B$2:$B$1132,0)),"")</f>
        <v>RISK ANALYSIS, DATA ANALYSIS, EXCEL, STATISTICS</v>
      </c>
      <c r="N1121" t="s">
        <v>74</v>
      </c>
      <c r="O1121" t="s">
        <v>79</v>
      </c>
    </row>
    <row r="1122" spans="1:15" x14ac:dyDescent="0.25">
      <c r="A1122">
        <v>18970</v>
      </c>
      <c r="B1122" t="s">
        <v>22</v>
      </c>
      <c r="C1122" t="s">
        <v>23</v>
      </c>
      <c r="D1122" t="str">
        <f>IFERROR(INDEX(Sheet2!$B$2:$B$1132,MATCH(Sheet1!C1122,Sheet1!$C$2:$C$1132,0)),"IDK")</f>
        <v>IT</v>
      </c>
      <c r="E1122" t="s">
        <v>51</v>
      </c>
      <c r="F1122" t="s">
        <v>52</v>
      </c>
      <c r="G1122" s="1">
        <v>45475</v>
      </c>
      <c r="H1122" t="s">
        <v>55</v>
      </c>
      <c r="I1122" s="2" t="s">
        <v>88</v>
      </c>
      <c r="J1122" s="2" t="s">
        <v>90</v>
      </c>
      <c r="K1122">
        <f>IFERROR(INDEX(Sheet2!$C$2:$C$1132,MATCH(Sheet1!C1122,Sheet1!$C$2:$C$1132,0)),"")</f>
        <v>35000</v>
      </c>
      <c r="L1122">
        <f>IFERROR(INDEX(Sheet2!$D$2:$D$1132,MATCH(Sheet1!C1122,$C$2:$C$1132,0)),"")</f>
        <v>70000</v>
      </c>
      <c r="M1122" t="str">
        <f>IFERROR(INDEX($M$2:$M$1132,MATCH(B1122,$B$2:$B$1132,0)),"")</f>
        <v>GOOGLE ANALYTICS, SEO, SOCIAL MEDIA ANALYTICS, EXCEL</v>
      </c>
      <c r="N1122" t="s">
        <v>74</v>
      </c>
      <c r="O1122" t="s">
        <v>79</v>
      </c>
    </row>
    <row r="1123" spans="1:15" x14ac:dyDescent="0.25">
      <c r="A1123">
        <v>18971</v>
      </c>
      <c r="B1123" t="s">
        <v>14</v>
      </c>
      <c r="C1123" t="s">
        <v>24</v>
      </c>
      <c r="D1123" t="str">
        <f>IFERROR(INDEX(Sheet2!$B$2:$B$1132,MATCH(Sheet1!C1123,Sheet1!$C$2:$C$1132,0)),"IDK")</f>
        <v>HEALTH</v>
      </c>
      <c r="E1123" t="s">
        <v>51</v>
      </c>
      <c r="F1123" t="s">
        <v>52</v>
      </c>
      <c r="G1123" s="1">
        <v>45498</v>
      </c>
      <c r="H1123" t="s">
        <v>55</v>
      </c>
      <c r="I1123" s="2" t="s">
        <v>86</v>
      </c>
      <c r="J1123" s="2" t="s">
        <v>87</v>
      </c>
      <c r="K1123">
        <f>IFERROR(INDEX(Sheet2!$C$2:$C$1132,MATCH(Sheet1!C1123,Sheet1!$C$2:$C$1132,0)),"")</f>
        <v>25000</v>
      </c>
      <c r="L1123">
        <f>IFERROR(INDEX(Sheet2!$D$2:$D$1132,MATCH(Sheet1!C1123,$C$2:$C$1132,0)),"")</f>
        <v>50000</v>
      </c>
      <c r="M1123" t="str">
        <f>IFERROR(INDEX($M$2:$M$1132,MATCH(B1123,$B$2:$B$1132,0)),"")</f>
        <v>SQL, EXCEL, POWERBI, TABLEAU</v>
      </c>
      <c r="N1123" t="s">
        <v>74</v>
      </c>
      <c r="O1123" t="s">
        <v>79</v>
      </c>
    </row>
    <row r="1124" spans="1:15" x14ac:dyDescent="0.25">
      <c r="A1124">
        <v>18972</v>
      </c>
      <c r="B1124" t="s">
        <v>15</v>
      </c>
      <c r="C1124" t="s">
        <v>25</v>
      </c>
      <c r="D1124" t="str">
        <f>IFERROR(INDEX(Sheet2!$B$2:$B$1132,MATCH(Sheet1!C1124,Sheet1!$C$2:$C$1132,0)),"IDK")</f>
        <v>SOCIAL</v>
      </c>
      <c r="E1124" t="s">
        <v>51</v>
      </c>
      <c r="F1124" t="s">
        <v>52</v>
      </c>
      <c r="G1124" s="1">
        <v>45460</v>
      </c>
      <c r="H1124" t="s">
        <v>55</v>
      </c>
      <c r="I1124" s="2" t="s">
        <v>92</v>
      </c>
      <c r="J1124" s="2" t="s">
        <v>93</v>
      </c>
      <c r="K1124">
        <f>IFERROR(INDEX(Sheet2!$C$2:$C$1132,MATCH(Sheet1!C1124,Sheet1!$C$2:$C$1132,0)),"")</f>
        <v>30000</v>
      </c>
      <c r="L1124">
        <f>IFERROR(INDEX(Sheet2!$D$2:$D$1132,MATCH(Sheet1!C1124,$C$2:$C$1132,0)),"")</f>
        <v>60000</v>
      </c>
      <c r="M1124" t="str">
        <f>IFERROR(INDEX($M$2:$M$1132,MATCH(B1124,$B$2:$B$1132,0)),"")</f>
        <v>SQL, PYTHON, AWS, SPARK, ETL</v>
      </c>
      <c r="N1124" t="s">
        <v>75</v>
      </c>
      <c r="O1124" t="s">
        <v>77</v>
      </c>
    </row>
    <row r="1125" spans="1:15" x14ac:dyDescent="0.25">
      <c r="A1125">
        <v>18973</v>
      </c>
      <c r="B1125" t="s">
        <v>17</v>
      </c>
      <c r="C1125" t="s">
        <v>26</v>
      </c>
      <c r="D1125" t="str">
        <f>IFERROR(INDEX(Sheet2!$B$2:$B$1132,MATCH(Sheet1!C1125,Sheet1!$C$2:$C$1132,0)),"IDK")</f>
        <v>FINANCE</v>
      </c>
      <c r="E1125" t="s">
        <v>51</v>
      </c>
      <c r="F1125" t="s">
        <v>52</v>
      </c>
      <c r="G1125" s="1">
        <v>45556</v>
      </c>
      <c r="H1125" t="s">
        <v>55</v>
      </c>
      <c r="I1125" s="2" t="s">
        <v>96</v>
      </c>
      <c r="J1125" s="2" t="s">
        <v>97</v>
      </c>
      <c r="K1125">
        <f>IFERROR(INDEX(Sheet2!$C$2:$C$1132,MATCH(Sheet1!C1125,Sheet1!$C$2:$C$1132,0)),"")</f>
        <v>35000</v>
      </c>
      <c r="L1125">
        <f>IFERROR(INDEX(Sheet2!$D$2:$D$1132,MATCH(Sheet1!C1125,$C$2:$C$1132,0)),"")</f>
        <v>75000</v>
      </c>
      <c r="M1125" t="str">
        <f>IFERROR(INDEX($M$2:$M$1132,MATCH(B1125,$B$2:$B$1132,0)),"")</f>
        <v>EXCEL, SQL, TABLEAU, BUSINESS ANALYSIS</v>
      </c>
      <c r="N1125" t="s">
        <v>75</v>
      </c>
      <c r="O1125" t="s">
        <v>77</v>
      </c>
    </row>
    <row r="1126" spans="1:15" x14ac:dyDescent="0.25">
      <c r="A1126">
        <v>18974</v>
      </c>
      <c r="B1126" t="s">
        <v>18</v>
      </c>
      <c r="C1126" t="s">
        <v>27</v>
      </c>
      <c r="D1126" t="str">
        <f>IFERROR(INDEX(Sheet2!$B$2:$B$1132,MATCH(Sheet1!C1126,Sheet1!$C$2:$C$1132,0)),"IDK")</f>
        <v>IT</v>
      </c>
      <c r="E1126" t="s">
        <v>51</v>
      </c>
      <c r="F1126" t="s">
        <v>52</v>
      </c>
      <c r="G1126" s="1">
        <v>45443</v>
      </c>
      <c r="H1126" t="s">
        <v>55</v>
      </c>
      <c r="I1126" s="2" t="s">
        <v>98</v>
      </c>
      <c r="J1126" s="2" t="s">
        <v>99</v>
      </c>
      <c r="K1126">
        <f>IFERROR(INDEX(Sheet2!$C$2:$C$1132,MATCH(Sheet1!C1126,Sheet1!$C$2:$C$1132,0)),"")</f>
        <v>40000</v>
      </c>
      <c r="L1126">
        <f>IFERROR(INDEX(Sheet2!$D$2:$D$1132,MATCH(Sheet1!C1126,$C$2:$C$1132,0)),"")</f>
        <v>80000</v>
      </c>
      <c r="M1126" t="str">
        <f>IFERROR(INDEX($M$2:$M$1132,MATCH(B1126,$B$2:$B$1132,0)),"")</f>
        <v>EXCEL, SQL, FINANCIAL MODELLING, BUDGETING</v>
      </c>
      <c r="N1126" t="s">
        <v>75</v>
      </c>
      <c r="O1126" t="s">
        <v>77</v>
      </c>
    </row>
    <row r="1127" spans="1:15" x14ac:dyDescent="0.25">
      <c r="A1127">
        <v>18975</v>
      </c>
      <c r="B1127" t="s">
        <v>19</v>
      </c>
      <c r="C1127" t="s">
        <v>28</v>
      </c>
      <c r="D1127" t="str">
        <f>IFERROR(INDEX(Sheet2!$B$2:$B$1132,MATCH(Sheet1!C1127,Sheet1!$C$2:$C$1132,0)),"IDK")</f>
        <v>IT</v>
      </c>
      <c r="E1127" t="s">
        <v>51</v>
      </c>
      <c r="F1127" t="s">
        <v>52</v>
      </c>
      <c r="G1127" s="1">
        <v>45506</v>
      </c>
      <c r="H1127" t="s">
        <v>55</v>
      </c>
      <c r="I1127" s="2" t="s">
        <v>82</v>
      </c>
      <c r="J1127" s="2" t="s">
        <v>83</v>
      </c>
      <c r="K1127">
        <f>IFERROR(INDEX(Sheet2!$C$2:$C$1132,MATCH(Sheet1!C1127,Sheet1!$C$2:$C$1132,0)),"")</f>
        <v>30000</v>
      </c>
      <c r="L1127">
        <f>IFERROR(INDEX(Sheet2!$D$2:$D$1132,MATCH(Sheet1!C1127,$C$2:$C$1132,0)),"")</f>
        <v>55000</v>
      </c>
      <c r="M1127" t="str">
        <f>IFERROR(INDEX($M$2:$M$1132,MATCH(B1127,$B$2:$B$1132,0)),"")</f>
        <v>NETWORK SECURITY, ETHICAL HACKING, RISK ASSESSMENT</v>
      </c>
      <c r="N1127" t="s">
        <v>75</v>
      </c>
      <c r="O1127" t="s">
        <v>78</v>
      </c>
    </row>
    <row r="1128" spans="1:15" x14ac:dyDescent="0.25">
      <c r="A1128">
        <v>18976</v>
      </c>
      <c r="B1128" t="s">
        <v>20</v>
      </c>
      <c r="C1128" t="s">
        <v>29</v>
      </c>
      <c r="D1128" t="str">
        <f>IFERROR(INDEX(Sheet2!$B$2:$B$1132,MATCH(Sheet1!C1128,Sheet1!$C$2:$C$1132,0)),"IDK")</f>
        <v>IT</v>
      </c>
      <c r="E1128" t="s">
        <v>51</v>
      </c>
      <c r="F1128" t="s">
        <v>52</v>
      </c>
      <c r="G1128" s="1">
        <v>45614</v>
      </c>
      <c r="H1128" t="s">
        <v>55</v>
      </c>
      <c r="I1128" s="2" t="s">
        <v>82</v>
      </c>
      <c r="J1128" s="2" t="s">
        <v>84</v>
      </c>
      <c r="K1128">
        <f>IFERROR(INDEX(Sheet2!$C$2:$C$1132,MATCH(Sheet1!C1128,Sheet1!$C$2:$C$1132,0)),"")</f>
        <v>35000</v>
      </c>
      <c r="L1128">
        <f>IFERROR(INDEX(Sheet2!$D$2:$D$1132,MATCH(Sheet1!C1128,$C$2:$C$1132,0)),"")</f>
        <v>70000</v>
      </c>
      <c r="M1128" t="str">
        <f>IFERROR(INDEX($M$2:$M$1132,MATCH(B1128,$B$2:$B$1132,0)),"")</f>
        <v>CLOUD, NETWORK, MACHINE LEARNING</v>
      </c>
      <c r="N1128" t="s">
        <v>75</v>
      </c>
      <c r="O1128" t="s">
        <v>78</v>
      </c>
    </row>
    <row r="1129" spans="1:15" x14ac:dyDescent="0.25">
      <c r="A1129">
        <v>18977</v>
      </c>
      <c r="B1129" t="s">
        <v>21</v>
      </c>
      <c r="C1129" t="s">
        <v>23</v>
      </c>
      <c r="D1129" t="str">
        <f>IFERROR(INDEX(Sheet2!$B$2:$B$1132,MATCH(Sheet1!C1129,Sheet1!$C$2:$C$1132,0)),"IDK")</f>
        <v>IT</v>
      </c>
      <c r="E1129" t="s">
        <v>51</v>
      </c>
      <c r="F1129" t="s">
        <v>52</v>
      </c>
      <c r="G1129" s="1">
        <v>45635</v>
      </c>
      <c r="H1129" t="s">
        <v>55</v>
      </c>
      <c r="I1129" s="2" t="s">
        <v>82</v>
      </c>
      <c r="J1129" s="2" t="s">
        <v>85</v>
      </c>
      <c r="K1129">
        <f>IFERROR(INDEX(Sheet2!$C$2:$C$1132,MATCH(Sheet1!C1129,Sheet1!$C$2:$C$1132,0)),"")</f>
        <v>35000</v>
      </c>
      <c r="L1129">
        <f>IFERROR(INDEX(Sheet2!$D$2:$D$1132,MATCH(Sheet1!C1129,$C$2:$C$1132,0)),"")</f>
        <v>70000</v>
      </c>
      <c r="M1129" t="str">
        <f>IFERROR(INDEX($M$2:$M$1132,MATCH(B1129,$B$2:$B$1132,0)),"")</f>
        <v>RISK ANALYSIS, DATA ANALYSIS, EXCEL, STATISTICS</v>
      </c>
      <c r="N1129" t="s">
        <v>75</v>
      </c>
      <c r="O1129" t="s">
        <v>78</v>
      </c>
    </row>
    <row r="1130" spans="1:15" x14ac:dyDescent="0.25">
      <c r="A1130">
        <v>18978</v>
      </c>
      <c r="B1130" t="s">
        <v>17</v>
      </c>
      <c r="C1130" t="s">
        <v>30</v>
      </c>
      <c r="D1130" t="str">
        <f>IFERROR(INDEX(Sheet2!$B$2:$B$1132,MATCH(Sheet1!C1130,Sheet1!$C$2:$C$1132,0)),"IDK")</f>
        <v>IT</v>
      </c>
      <c r="E1130" t="s">
        <v>51</v>
      </c>
      <c r="F1130" t="s">
        <v>52</v>
      </c>
      <c r="G1130" s="1">
        <v>45410</v>
      </c>
      <c r="H1130" t="s">
        <v>55</v>
      </c>
      <c r="I1130" s="2" t="s">
        <v>86</v>
      </c>
      <c r="J1130" s="2" t="s">
        <v>87</v>
      </c>
      <c r="K1130">
        <f>IFERROR(INDEX(Sheet2!$C$2:$C$1132,MATCH(Sheet1!C1130,Sheet1!$C$2:$C$1132,0)),"")</f>
        <v>25000</v>
      </c>
      <c r="L1130">
        <f>IFERROR(INDEX(Sheet2!$D$2:$D$1132,MATCH(Sheet1!C1130,$C$2:$C$1132,0)),"")</f>
        <v>60000</v>
      </c>
      <c r="M1130" t="str">
        <f>IFERROR(INDEX($M$2:$M$1132,MATCH(B1130,$B$2:$B$1132,0)),"")</f>
        <v>EXCEL, SQL, TABLEAU, BUSINESS ANALYSIS</v>
      </c>
      <c r="N1130" t="s">
        <v>75</v>
      </c>
      <c r="O1130" t="s">
        <v>80</v>
      </c>
    </row>
    <row r="1131" spans="1:15" x14ac:dyDescent="0.25">
      <c r="A1131">
        <v>18979</v>
      </c>
      <c r="B1131" t="s">
        <v>18</v>
      </c>
      <c r="C1131" t="s">
        <v>31</v>
      </c>
      <c r="D1131" t="str">
        <f>IFERROR(INDEX(Sheet2!$B$2:$B$1132,MATCH(Sheet1!C1131,Sheet1!$C$2:$C$1132,0)),"IDK")</f>
        <v>IT</v>
      </c>
      <c r="E1131" t="s">
        <v>51</v>
      </c>
      <c r="F1131" t="s">
        <v>52</v>
      </c>
      <c r="G1131" s="1">
        <v>45461</v>
      </c>
      <c r="H1131" t="s">
        <v>55</v>
      </c>
      <c r="I1131" s="2" t="s">
        <v>88</v>
      </c>
      <c r="J1131" s="2" t="s">
        <v>89</v>
      </c>
      <c r="K1131">
        <f>IFERROR(INDEX(Sheet2!$C$2:$C$1132,MATCH(Sheet1!C1131,Sheet1!$C$2:$C$1132,0)),"")</f>
        <v>25000</v>
      </c>
      <c r="L1131">
        <f>IFERROR(INDEX(Sheet2!$D$2:$D$1132,MATCH(Sheet1!C1131,$C$2:$C$1132,0)),"")</f>
        <v>75000</v>
      </c>
      <c r="M1131" t="str">
        <f>IFERROR(INDEX($M$2:$M$1132,MATCH(B1131,$B$2:$B$1132,0)),"")</f>
        <v>EXCEL, SQL, FINANCIAL MODELLING, BUDGETING</v>
      </c>
      <c r="N1131" t="s">
        <v>75</v>
      </c>
      <c r="O1131" t="s">
        <v>80</v>
      </c>
    </row>
    <row r="1132" spans="1:15" x14ac:dyDescent="0.25">
      <c r="A1132">
        <v>18980</v>
      </c>
      <c r="B1132" t="s">
        <v>19</v>
      </c>
      <c r="C1132" t="s">
        <v>35</v>
      </c>
      <c r="D1132" t="str">
        <f>IFERROR(INDEX(Sheet2!$B$2:$B$1132,MATCH(Sheet1!C1132,Sheet1!$C$2:$C$1132,0)),"IDK")</f>
        <v>SOCIAL</v>
      </c>
      <c r="E1132" t="s">
        <v>51</v>
      </c>
      <c r="F1132" t="s">
        <v>52</v>
      </c>
      <c r="G1132" s="1">
        <v>45558</v>
      </c>
      <c r="H1132" t="s">
        <v>55</v>
      </c>
      <c r="I1132" s="2" t="s">
        <v>88</v>
      </c>
      <c r="J1132" s="2" t="s">
        <v>90</v>
      </c>
      <c r="K1132">
        <f>IFERROR(INDEX(Sheet2!$C$2:$C$1132,MATCH(Sheet1!C1132,Sheet1!$C$2:$C$1132,0)),"")</f>
        <v>30000</v>
      </c>
      <c r="L1132">
        <f>IFERROR(INDEX(Sheet2!$D$2:$D$1132,MATCH(Sheet1!C1132,$C$2:$C$1132,0)),"")</f>
        <v>95000</v>
      </c>
      <c r="M1132" t="str">
        <f>IFERROR(INDEX($M$2:$M$1132,MATCH(B1132,$B$2:$B$1132,0)),"")</f>
        <v>NETWORK SECURITY, ETHICAL HACKING, RISK ASSESSMENT</v>
      </c>
      <c r="N1132" t="s">
        <v>75</v>
      </c>
      <c r="O1132" t="s">
        <v>80</v>
      </c>
    </row>
    <row r="1133" spans="1:15" x14ac:dyDescent="0.25">
      <c r="I1133" s="2"/>
      <c r="J1133" s="2"/>
    </row>
    <row r="1134" spans="1:15" x14ac:dyDescent="0.25">
      <c r="I1134" s="2"/>
      <c r="J1134" s="2"/>
    </row>
    <row r="1135" spans="1:15" x14ac:dyDescent="0.25">
      <c r="I1135" s="2"/>
      <c r="J1135" s="2"/>
    </row>
    <row r="1136" spans="1:15" x14ac:dyDescent="0.25">
      <c r="I1136" s="2"/>
      <c r="J11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C17" sqref="C17"/>
    </sheetView>
  </sheetViews>
  <sheetFormatPr defaultRowHeight="15" x14ac:dyDescent="0.25"/>
  <cols>
    <col min="1" max="1" width="21" bestFit="1" customWidth="1"/>
    <col min="3" max="3" width="11.7109375" bestFit="1" customWidth="1"/>
    <col min="4" max="4" width="12.140625" bestFit="1" customWidth="1"/>
  </cols>
  <sheetData>
    <row r="1" spans="1:4" x14ac:dyDescent="0.25">
      <c r="A1" t="s">
        <v>2</v>
      </c>
      <c r="B1" t="s">
        <v>45</v>
      </c>
      <c r="C1" t="s">
        <v>9</v>
      </c>
      <c r="D1" t="s">
        <v>10</v>
      </c>
    </row>
    <row r="2" spans="1:4" x14ac:dyDescent="0.25">
      <c r="A2" t="s">
        <v>23</v>
      </c>
      <c r="B2" t="s">
        <v>41</v>
      </c>
      <c r="C2">
        <v>35000</v>
      </c>
      <c r="D2">
        <v>70000</v>
      </c>
    </row>
    <row r="3" spans="1:4" x14ac:dyDescent="0.25">
      <c r="A3" t="s">
        <v>24</v>
      </c>
      <c r="B3" t="s">
        <v>42</v>
      </c>
      <c r="C3">
        <v>25000</v>
      </c>
      <c r="D3">
        <v>50000</v>
      </c>
    </row>
    <row r="4" spans="1:4" x14ac:dyDescent="0.25">
      <c r="A4" t="s">
        <v>25</v>
      </c>
      <c r="B4" t="s">
        <v>43</v>
      </c>
      <c r="C4">
        <v>30000</v>
      </c>
      <c r="D4">
        <v>60000</v>
      </c>
    </row>
    <row r="5" spans="1:4" x14ac:dyDescent="0.25">
      <c r="A5" t="s">
        <v>26</v>
      </c>
      <c r="B5" t="s">
        <v>44</v>
      </c>
      <c r="C5">
        <v>35000</v>
      </c>
      <c r="D5">
        <v>75000</v>
      </c>
    </row>
    <row r="6" spans="1:4" x14ac:dyDescent="0.25">
      <c r="A6" t="s">
        <v>27</v>
      </c>
      <c r="B6" t="s">
        <v>41</v>
      </c>
      <c r="C6">
        <v>40000</v>
      </c>
      <c r="D6">
        <v>80000</v>
      </c>
    </row>
    <row r="7" spans="1:4" x14ac:dyDescent="0.25">
      <c r="A7" t="s">
        <v>28</v>
      </c>
      <c r="B7" t="s">
        <v>41</v>
      </c>
      <c r="C7">
        <v>30000</v>
      </c>
      <c r="D7">
        <v>55000</v>
      </c>
    </row>
    <row r="8" spans="1:4" x14ac:dyDescent="0.25">
      <c r="A8" t="s">
        <v>29</v>
      </c>
      <c r="B8" t="s">
        <v>41</v>
      </c>
      <c r="C8">
        <v>35000</v>
      </c>
      <c r="D8">
        <v>70000</v>
      </c>
    </row>
    <row r="9" spans="1:4" x14ac:dyDescent="0.25">
      <c r="A9" t="s">
        <v>30</v>
      </c>
      <c r="B9" t="s">
        <v>41</v>
      </c>
      <c r="C9">
        <v>25000</v>
      </c>
      <c r="D9">
        <v>60000</v>
      </c>
    </row>
    <row r="10" spans="1:4" x14ac:dyDescent="0.25">
      <c r="A10" t="s">
        <v>31</v>
      </c>
      <c r="B10" t="s">
        <v>41</v>
      </c>
      <c r="C10">
        <v>25000</v>
      </c>
      <c r="D10">
        <v>75000</v>
      </c>
    </row>
    <row r="11" spans="1:4" x14ac:dyDescent="0.25">
      <c r="A11" t="s">
        <v>32</v>
      </c>
      <c r="B11" t="s">
        <v>43</v>
      </c>
      <c r="C11">
        <v>20000</v>
      </c>
      <c r="D11">
        <v>70000</v>
      </c>
    </row>
    <row r="12" spans="1:4" x14ac:dyDescent="0.25">
      <c r="A12" t="s">
        <v>33</v>
      </c>
      <c r="B12" t="s">
        <v>44</v>
      </c>
      <c r="C12">
        <v>40000</v>
      </c>
      <c r="D12">
        <v>85000</v>
      </c>
    </row>
    <row r="13" spans="1:4" x14ac:dyDescent="0.25">
      <c r="A13" t="s">
        <v>34</v>
      </c>
      <c r="B13" t="s">
        <v>41</v>
      </c>
      <c r="C13">
        <v>35000</v>
      </c>
      <c r="D13">
        <v>90000</v>
      </c>
    </row>
    <row r="14" spans="1:4" x14ac:dyDescent="0.25">
      <c r="A14" t="s">
        <v>35</v>
      </c>
      <c r="B14" t="s">
        <v>43</v>
      </c>
      <c r="C14">
        <v>30000</v>
      </c>
      <c r="D14">
        <v>95000</v>
      </c>
    </row>
    <row r="15" spans="1:4" x14ac:dyDescent="0.25">
      <c r="A15" t="s">
        <v>36</v>
      </c>
      <c r="B15" t="s">
        <v>41</v>
      </c>
      <c r="C15">
        <v>50000</v>
      </c>
      <c r="D15">
        <v>100000</v>
      </c>
    </row>
    <row r="16" spans="1:4" x14ac:dyDescent="0.25">
      <c r="A16" t="s">
        <v>38</v>
      </c>
      <c r="B16" t="s">
        <v>42</v>
      </c>
      <c r="C16">
        <v>20000</v>
      </c>
      <c r="D16">
        <v>80000</v>
      </c>
    </row>
    <row r="17" spans="1:4" x14ac:dyDescent="0.25">
      <c r="A17" t="s">
        <v>46</v>
      </c>
      <c r="B17" t="s">
        <v>42</v>
      </c>
      <c r="C17">
        <v>25000</v>
      </c>
      <c r="D17">
        <v>95000</v>
      </c>
    </row>
    <row r="18" spans="1:4" x14ac:dyDescent="0.25">
      <c r="A18" t="s">
        <v>37</v>
      </c>
      <c r="B18" t="s">
        <v>43</v>
      </c>
      <c r="C18">
        <v>45000</v>
      </c>
      <c r="D18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2026-03-09T16:50:27Z</dcterms:created>
  <dcterms:modified xsi:type="dcterms:W3CDTF">2026-03-09T20:05:30Z</dcterms:modified>
</cp:coreProperties>
</file>